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终采购BOM" sheetId="1" state="visible" r:id="rId1"/>
    <sheet name="合并决策" sheetId="2" state="visible" r:id="rId2"/>
    <sheet name="下单必读与待核实" sheetId="3" state="visible" r:id="rId3"/>
  </sheets>
  <definedNames>
    <definedName name="_xlnm._FilterDatabase" localSheetId="0" hidden="1">'最终采购BOM'!$A$1:$O$92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E8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4" customWidth="1" min="3" max="3"/>
    <col width="44" customWidth="1" min="4" max="4"/>
    <col width="30" customWidth="1" min="5" max="5"/>
    <col width="10" customWidth="1" min="6" max="6"/>
    <col width="10" customWidth="1" min="7" max="7"/>
    <col width="10" customWidth="1" min="8" max="8"/>
    <col width="9" customWidth="1" min="9" max="9"/>
    <col width="12" customWidth="1" min="10" max="10"/>
    <col width="40" customWidth="1" min="11" max="11"/>
    <col width="26" customWidth="1" min="12" max="12"/>
    <col width="30" customWidth="1" min="13" max="13"/>
    <col width="7" customWidth="1" min="14" max="14"/>
    <col width="70" customWidth="1" min="15" max="15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值 / 型号</t>
        </is>
      </c>
      <c r="D1" s="1" t="inlineStr">
        <is>
          <t>封装</t>
        </is>
      </c>
      <c r="E1" s="1" t="inlineStr">
        <is>
          <t>合并后规格（取最严）</t>
        </is>
      </c>
      <c r="F1" s="1" t="inlineStr">
        <is>
          <t>MAIN-01 数量</t>
        </is>
      </c>
      <c r="G1" s="1" t="inlineStr">
        <is>
          <t>RLY-01 数量</t>
        </is>
      </c>
      <c r="H1" s="1" t="inlineStr">
        <is>
          <t>SNS-01 数量</t>
        </is>
      </c>
      <c r="I1" s="1" t="inlineStr">
        <is>
          <t>总数量</t>
        </is>
      </c>
      <c r="J1" s="1" t="inlineStr">
        <is>
          <t>建议采购量(+20%)</t>
        </is>
      </c>
      <c r="K1" s="1" t="inlineStr">
        <is>
          <t>MAIN-01 位号</t>
        </is>
      </c>
      <c r="L1" s="1" t="inlineStr">
        <is>
          <t>RLY-01 位号</t>
        </is>
      </c>
      <c r="M1" s="1" t="inlineStr">
        <is>
          <t>SNS-01 位号</t>
        </is>
      </c>
      <c r="N1" s="1" t="inlineStr">
        <is>
          <t>跨板合并</t>
        </is>
      </c>
      <c r="O1" s="1" t="inlineStr">
        <is>
          <t>备注 / 下单注意</t>
        </is>
      </c>
    </row>
    <row r="2">
      <c r="A2" s="2" t="n">
        <v>1</v>
      </c>
      <c r="B2" s="3" t="inlineStr">
        <is>
          <t>主控</t>
        </is>
      </c>
      <c r="C2" s="3" t="inlineStr">
        <is>
          <t>STM32G474RET6</t>
        </is>
      </c>
      <c r="D2" s="3" t="inlineStr">
        <is>
          <t>LQFP-64_L10.0-W10.0-P0.50-LS12.0-BL</t>
        </is>
      </c>
      <c r="E2" s="4" t="inlineStr">
        <is>
          <t>LQFP-64</t>
        </is>
      </c>
      <c r="F2" s="2" t="n">
        <v>1</v>
      </c>
      <c r="G2" s="2" t="n"/>
      <c r="H2" s="2" t="n"/>
      <c r="I2" s="2">
        <f>SUM(F2:H2)</f>
        <v/>
      </c>
      <c r="J2" s="2">
        <f>ROUNDUP(I2*1.2,0)</f>
        <v/>
      </c>
      <c r="K2" s="4" t="inlineStr">
        <is>
          <t>U1</t>
        </is>
      </c>
      <c r="L2" s="4" t="n"/>
      <c r="M2" s="4" t="n"/>
      <c r="N2" s="2" t="n"/>
      <c r="O2" s="5" t="inlineStr">
        <is>
          <t>🔴 引脚表已按官方 datasheet 核实；软件须置 PWR_CR3.UCPD1_DBDIS=1</t>
        </is>
      </c>
    </row>
    <row r="3">
      <c r="A3" s="2" t="n">
        <v>2</v>
      </c>
      <c r="B3" s="3" t="inlineStr">
        <is>
          <t>数字</t>
        </is>
      </c>
      <c r="C3" s="3" t="inlineStr">
        <is>
          <t>CH340X</t>
        </is>
      </c>
      <c r="D3" s="3" t="inlineStr">
        <is>
          <t>MSOP-10_L3.0-W3.0-P0.50-LS5.0-BL</t>
        </is>
      </c>
      <c r="E3" s="4" t="inlineStr">
        <is>
          <t>USB-UART</t>
        </is>
      </c>
      <c r="F3" s="2" t="n">
        <v>1</v>
      </c>
      <c r="G3" s="2" t="n"/>
      <c r="H3" s="2" t="n"/>
      <c r="I3" s="2">
        <f>SUM(F3:H3)</f>
        <v/>
      </c>
      <c r="J3" s="2">
        <f>ROUNDUP(I3*1.2,0)</f>
        <v/>
      </c>
      <c r="K3" s="4" t="inlineStr">
        <is>
          <t>U8</t>
        </is>
      </c>
      <c r="L3" s="4" t="n"/>
      <c r="M3" s="4" t="n"/>
      <c r="N3" s="2" t="n"/>
      <c r="O3" s="4" t="inlineStr"/>
    </row>
    <row r="4">
      <c r="A4" s="2" t="n">
        <v>3</v>
      </c>
      <c r="B4" s="3" t="inlineStr">
        <is>
          <t>数字</t>
        </is>
      </c>
      <c r="C4" s="3" t="inlineStr">
        <is>
          <t>FM24V10-GTR</t>
        </is>
      </c>
      <c r="D4" s="3" t="inlineStr">
        <is>
          <t>SOIC-8_L5.0-W4.0-P1.27-LS6.0-BL</t>
        </is>
      </c>
      <c r="E4" s="4" t="inlineStr">
        <is>
          <t>FRAM 1Mb</t>
        </is>
      </c>
      <c r="F4" s="2" t="n">
        <v>1</v>
      </c>
      <c r="G4" s="2" t="n"/>
      <c r="H4" s="2" t="n"/>
      <c r="I4" s="2">
        <f>SUM(F4:H4)</f>
        <v/>
      </c>
      <c r="J4" s="2">
        <f>ROUNDUP(I4*1.2,0)</f>
        <v/>
      </c>
      <c r="K4" s="4" t="inlineStr">
        <is>
          <t>U9</t>
        </is>
      </c>
      <c r="L4" s="4" t="n"/>
      <c r="M4" s="4" t="n"/>
      <c r="N4" s="2" t="n"/>
      <c r="O4" s="4" t="inlineStr"/>
    </row>
    <row r="5">
      <c r="A5" s="2" t="n">
        <v>4</v>
      </c>
      <c r="B5" s="3" t="inlineStr">
        <is>
          <t>数字</t>
        </is>
      </c>
      <c r="C5" s="3" t="inlineStr">
        <is>
          <t>TCA9539PWR</t>
        </is>
      </c>
      <c r="D5" s="3" t="inlineStr">
        <is>
          <t>TSSOP-24_L7.8-W4.4-P0.65-LS6.4-BL</t>
        </is>
      </c>
      <c r="E5" s="4" t="inlineStr">
        <is>
          <t>I²C 地址 0x74</t>
        </is>
      </c>
      <c r="F5" s="2" t="n">
        <v>1</v>
      </c>
      <c r="G5" s="2" t="n"/>
      <c r="H5" s="2" t="n"/>
      <c r="I5" s="2">
        <f>SUM(F5:H5)</f>
        <v/>
      </c>
      <c r="J5" s="2">
        <f>ROUNDUP(I5*1.2,0)</f>
        <v/>
      </c>
      <c r="K5" s="4" t="inlineStr">
        <is>
          <t>U24</t>
        </is>
      </c>
      <c r="L5" s="4" t="n"/>
      <c r="M5" s="4" t="n"/>
      <c r="N5" s="2" t="n"/>
      <c r="O5" s="4" t="inlineStr">
        <is>
          <t>16 路 IO：8 出（K_TRANS+7 抽头）/ 8 入；内部无上拉，8 路输入各配 10k+100nF</t>
        </is>
      </c>
    </row>
    <row r="6">
      <c r="A6" s="2" t="n">
        <v>5</v>
      </c>
      <c r="B6" s="3" t="inlineStr">
        <is>
          <t>隔离</t>
        </is>
      </c>
      <c r="C6" s="3" t="inlineStr">
        <is>
          <t>AMC23C12DWVR</t>
        </is>
      </c>
      <c r="D6" s="3" t="inlineStr">
        <is>
          <t>SOIC-8_L7.5-W5.9-P1.27-LS11.5-BL</t>
        </is>
      </c>
      <c r="E6" s="4" t="inlineStr">
        <is>
          <t>窗口比较器</t>
        </is>
      </c>
      <c r="F6" s="2" t="n"/>
      <c r="G6" s="2" t="n"/>
      <c r="H6" s="2" t="n">
        <v>2</v>
      </c>
      <c r="I6" s="2">
        <f>SUM(F6:H6)</f>
        <v/>
      </c>
      <c r="J6" s="2">
        <f>ROUNDUP(I6*1.2,0)</f>
        <v/>
      </c>
      <c r="K6" s="4" t="n"/>
      <c r="L6" s="4" t="n"/>
      <c r="M6" s="4" t="inlineStr">
        <is>
          <t>U1,U2</t>
        </is>
      </c>
      <c r="N6" s="2" t="n"/>
      <c r="O6" s="5" t="inlineStr">
        <is>
          <t>🔴 LATCH 不能悬空；VDD2 必须 3.3 V</t>
        </is>
      </c>
    </row>
    <row r="7">
      <c r="A7" s="2" t="n">
        <v>6</v>
      </c>
      <c r="B7" s="3" t="inlineStr">
        <is>
          <t>隔离</t>
        </is>
      </c>
      <c r="C7" s="3" t="inlineStr">
        <is>
          <t>AMC3301QDWERQ1</t>
        </is>
      </c>
      <c r="D7" s="3" t="inlineStr">
        <is>
          <t>SOIC-16_L10.3-W7.4-P1.27-LS10.3-BL</t>
        </is>
      </c>
      <c r="E7" s="4" t="inlineStr">
        <is>
          <t>隔离 ΔΣ 电流</t>
        </is>
      </c>
      <c r="F7" s="2" t="n"/>
      <c r="G7" s="2" t="n"/>
      <c r="H7" s="2" t="n">
        <v>1</v>
      </c>
      <c r="I7" s="2">
        <f>SUM(F7:H7)</f>
        <v/>
      </c>
      <c r="J7" s="2">
        <f>ROUNDUP(I7*1.2,0)</f>
        <v/>
      </c>
      <c r="K7" s="4" t="n"/>
      <c r="L7" s="4" t="n"/>
      <c r="M7" s="4" t="inlineStr">
        <is>
          <t>U4</t>
        </is>
      </c>
      <c r="N7" s="2" t="n"/>
      <c r="O7" s="4" t="inlineStr">
        <is>
          <t>自带隔离 DC/DC，一滴电都不从 UCC12050 拿</t>
        </is>
      </c>
    </row>
    <row r="8">
      <c r="A8" s="2" t="n">
        <v>7</v>
      </c>
      <c r="B8" s="3" t="inlineStr">
        <is>
          <t>隔离</t>
        </is>
      </c>
      <c r="C8" s="3" t="inlineStr">
        <is>
          <t>AMC3330QDWERQ1</t>
        </is>
      </c>
      <c r="D8" s="3" t="inlineStr">
        <is>
          <t>SOIC-16_L10.3-W7.5-P1.27-LS10.3-BL</t>
        </is>
      </c>
      <c r="E8" s="4" t="inlineStr">
        <is>
          <t>隔离 ΔΣ 电压</t>
        </is>
      </c>
      <c r="F8" s="2" t="n"/>
      <c r="G8" s="2" t="n"/>
      <c r="H8" s="2" t="n">
        <v>1</v>
      </c>
      <c r="I8" s="2">
        <f>SUM(F8:H8)</f>
        <v/>
      </c>
      <c r="J8" s="2">
        <f>ROUNDUP(I8*1.2,0)</f>
        <v/>
      </c>
      <c r="K8" s="4" t="n"/>
      <c r="L8" s="4" t="n"/>
      <c r="M8" s="4" t="inlineStr">
        <is>
          <t>U5</t>
        </is>
      </c>
      <c r="N8" s="2" t="n"/>
      <c r="O8" s="4" t="inlineStr"/>
    </row>
    <row r="9">
      <c r="A9" s="2" t="n">
        <v>8</v>
      </c>
      <c r="B9" s="3" t="inlineStr">
        <is>
          <t>隔离</t>
        </is>
      </c>
      <c r="C9" s="3" t="inlineStr">
        <is>
          <t>UCC12050DVER</t>
        </is>
      </c>
      <c r="D9" s="3" t="inlineStr">
        <is>
          <t>SOIC-16_L10.3-W7.5-P1.27-LS10.3-BL</t>
        </is>
      </c>
      <c r="E9" s="4" t="inlineStr">
        <is>
          <t>5kV 隔离 5V</t>
        </is>
      </c>
      <c r="F9" s="2" t="n"/>
      <c r="G9" s="2" t="n"/>
      <c r="H9" s="2" t="n">
        <v>1</v>
      </c>
      <c r="I9" s="2">
        <f>SUM(F9:H9)</f>
        <v/>
      </c>
      <c r="J9" s="2">
        <f>ROUNDUP(I9*1.2,0)</f>
        <v/>
      </c>
      <c r="K9" s="4" t="n"/>
      <c r="L9" s="4" t="n"/>
      <c r="M9" s="4" t="inlineStr">
        <is>
          <t>U3</t>
        </is>
      </c>
      <c r="N9" s="2" t="n"/>
      <c r="O9" s="5" t="inlineStr">
        <is>
          <t>🔴 SEL 短接 VISO = 5.0V 档；6 只 NC 脚必须按手册接地</t>
        </is>
      </c>
    </row>
    <row r="10">
      <c r="A10" s="2" t="n">
        <v>9</v>
      </c>
      <c r="B10" s="3" t="inlineStr">
        <is>
          <t>运放</t>
        </is>
      </c>
      <c r="C10" s="3" t="inlineStr">
        <is>
          <t>HMCP6022T-I/SN</t>
        </is>
      </c>
      <c r="D10" s="3" t="inlineStr">
        <is>
          <t>SOP-8_L4.9-W3.9-P1.27-LS6.0-BL</t>
        </is>
      </c>
      <c r="E10" s="4" t="inlineStr">
        <is>
          <t>双运放 SOP-8</t>
        </is>
      </c>
      <c r="F10" s="2" t="n">
        <v>1</v>
      </c>
      <c r="G10" s="2" t="n"/>
      <c r="H10" s="2" t="n"/>
      <c r="I10" s="2">
        <f>SUM(F10:H10)</f>
        <v/>
      </c>
      <c r="J10" s="2">
        <f>ROUNDUP(I10*1.2,0)</f>
        <v/>
      </c>
      <c r="K10" s="4" t="inlineStr">
        <is>
          <t>U27</t>
        </is>
      </c>
      <c r="L10" s="4" t="n"/>
      <c r="M10" s="4" t="n"/>
      <c r="N10" s="2" t="n"/>
      <c r="O10" s="5" t="inlineStr">
        <is>
          <t>🔴 子件 B 必须接出来：U27.5→AGND、U27.6↔U27.7，否则 PCB 上三个焊盘悬空</t>
        </is>
      </c>
    </row>
    <row r="11">
      <c r="A11" s="2" t="n">
        <v>10</v>
      </c>
      <c r="B11" s="3" t="inlineStr">
        <is>
          <t>驱动</t>
        </is>
      </c>
      <c r="C11" s="3" t="inlineStr">
        <is>
          <t>ULN2803A</t>
        </is>
      </c>
      <c r="D11" s="3" t="inlineStr">
        <is>
          <t>SOP-18_L11.4-W7.6-P1.27-LS10.6-BL</t>
        </is>
      </c>
      <c r="E11" s="4" t="inlineStr">
        <is>
          <t>🟡 建议改 TBD62083A</t>
        </is>
      </c>
      <c r="F11" s="2" t="n"/>
      <c r="G11" s="2" t="n">
        <v>1</v>
      </c>
      <c r="H11" s="2" t="n"/>
      <c r="I11" s="2">
        <f>SUM(F11:H11)</f>
        <v/>
      </c>
      <c r="J11" s="2">
        <f>ROUNDUP(I11*1.2,0)</f>
        <v/>
      </c>
      <c r="K11" s="4" t="n"/>
      <c r="L11" s="4" t="inlineStr">
        <is>
          <t>U1</t>
        </is>
      </c>
      <c r="M11" s="4" t="n"/>
      <c r="N11" s="2" t="n"/>
      <c r="O11" s="4" t="inlineStr">
        <is>
          <t>🟡 文档一直按 TBD62083A 走（待决 #10）。两者引脚兼容（9=GND/10=COM）。ULN2803A 是达林顿，44 mA 下压降约 1.1 V → 线圈只剩 10.9 V；TBD62083A 是 DMOS，压降 ~44 mV → 11.95 V。按 G5RL 必动作 80%(9.6V) 算余量 1.14× vs 1.24×，两个都能用，但「合并取最好」应选 TBD62083A</t>
        </is>
      </c>
    </row>
    <row r="12">
      <c r="A12" s="2" t="n">
        <v>11</v>
      </c>
      <c r="B12" s="3" t="inlineStr">
        <is>
          <t>电源</t>
        </is>
      </c>
      <c r="C12" s="3" t="inlineStr">
        <is>
          <t>TPS73633DBVR</t>
        </is>
      </c>
      <c r="D12" s="3" t="inlineStr">
        <is>
          <t>SOT-23-5_L3.0-W1.7-P0.95-LS2.8-BR</t>
        </is>
      </c>
      <c r="E12" s="4" t="inlineStr">
        <is>
          <t>3.3V LDO</t>
        </is>
      </c>
      <c r="F12" s="2" t="n">
        <v>2</v>
      </c>
      <c r="G12" s="2" t="n"/>
      <c r="H12" s="2" t="n"/>
      <c r="I12" s="2">
        <f>SUM(F12:H12)</f>
        <v/>
      </c>
      <c r="J12" s="2">
        <f>ROUNDUP(I12*1.2,0)</f>
        <v/>
      </c>
      <c r="K12" s="4" t="inlineStr">
        <is>
          <t>U6,U13</t>
        </is>
      </c>
      <c r="L12" s="4" t="n"/>
      <c r="M12" s="4" t="n"/>
      <c r="N12" s="2" t="n"/>
      <c r="O12" s="4" t="inlineStr">
        <is>
          <t>U6 放星点旁（96 mA 原样传过去）</t>
        </is>
      </c>
    </row>
    <row r="13">
      <c r="A13" s="2" t="n">
        <v>12</v>
      </c>
      <c r="B13" s="3" t="inlineStr">
        <is>
          <t>电源</t>
        </is>
      </c>
      <c r="C13" s="3" t="inlineStr">
        <is>
          <t>IRF9540NS</t>
        </is>
      </c>
      <c r="D13" s="3" t="inlineStr">
        <is>
          <t>TO-263-2_L10.2-W8.7-P5.08-LS15.1-BL</t>
        </is>
      </c>
      <c r="E13" s="4" t="inlineStr">
        <is>
          <t>P-MOS 软启动</t>
        </is>
      </c>
      <c r="F13" s="2" t="n">
        <v>1</v>
      </c>
      <c r="G13" s="2" t="n"/>
      <c r="H13" s="2" t="n"/>
      <c r="I13" s="2">
        <f>SUM(F13:H13)</f>
        <v/>
      </c>
      <c r="J13" s="2">
        <f>ROUNDUP(I13*1.2,0)</f>
        <v/>
      </c>
      <c r="K13" s="4" t="inlineStr">
        <is>
          <t>Q1</t>
        </is>
      </c>
      <c r="L13" s="4" t="n"/>
      <c r="M13" s="4" t="n"/>
      <c r="N13" s="2" t="n"/>
      <c r="O13" s="5" t="inlineStr">
        <is>
          <t>🔴 要 ≥300 mm² 铜皮散热</t>
        </is>
      </c>
    </row>
    <row r="14">
      <c r="A14" s="2" t="n">
        <v>13</v>
      </c>
      <c r="B14" s="3" t="inlineStr">
        <is>
          <t>电源</t>
        </is>
      </c>
      <c r="C14" s="3" t="inlineStr">
        <is>
          <t>MBR20200CT</t>
        </is>
      </c>
      <c r="D14" s="3" t="inlineStr">
        <is>
          <t>TO-220-3_L10.1-W4.7-P2.54-L</t>
        </is>
      </c>
      <c r="E14" s="4" t="inlineStr">
        <is>
          <t>肖特基 20A/200V</t>
        </is>
      </c>
      <c r="F14" s="2" t="n">
        <v>1</v>
      </c>
      <c r="G14" s="2" t="n"/>
      <c r="H14" s="2" t="n"/>
      <c r="I14" s="2">
        <f>SUM(F14:H14)</f>
        <v/>
      </c>
      <c r="J14" s="2">
        <f>ROUNDUP(I14*1.2,0)</f>
        <v/>
      </c>
      <c r="K14" s="4" t="inlineStr">
        <is>
          <t>D8</t>
        </is>
      </c>
      <c r="L14" s="4" t="n"/>
      <c r="M14" s="4" t="n"/>
      <c r="N14" s="2" t="n"/>
      <c r="O14" s="5" t="inlineStr">
        <is>
          <t>🔴 Tj max 150 °C（不是 175）；🔴 散热片带 36V_RAW 电位，绝不能碰机箱；装配时插到底再焊（白拿 7.5 °C）</t>
        </is>
      </c>
    </row>
    <row r="15">
      <c r="A15" s="2" t="n">
        <v>14</v>
      </c>
      <c r="B15" s="3" t="inlineStr">
        <is>
          <t>电源</t>
        </is>
      </c>
      <c r="C15" s="3" t="inlineStr">
        <is>
          <t>TPS3823A-33DBVR</t>
        </is>
      </c>
      <c r="D15" s="3" t="inlineStr">
        <is>
          <t>SOT-23-5_L2.9-W1.6-P0.95-LS2.8-BL</t>
        </is>
      </c>
      <c r="E15" s="4" t="inlineStr">
        <is>
          <t>复位/看门狗</t>
        </is>
      </c>
      <c r="F15" s="2" t="n">
        <v>1</v>
      </c>
      <c r="G15" s="2" t="n"/>
      <c r="H15" s="2" t="n"/>
      <c r="I15" s="2">
        <f>SUM(F15:H15)</f>
        <v/>
      </c>
      <c r="J15" s="2">
        <f>ROUNDUP(I15*1.2,0)</f>
        <v/>
      </c>
      <c r="K15" s="4" t="inlineStr">
        <is>
          <t>U21</t>
        </is>
      </c>
      <c r="L15" s="4" t="n"/>
      <c r="M15" s="4" t="n"/>
      <c r="N15" s="2" t="n"/>
      <c r="O15" s="5" t="inlineStr">
        <is>
          <t>🔴 喂狗周期 ≤300 ms（t_tout min 0.9 s，按 min 算）</t>
        </is>
      </c>
    </row>
    <row r="16">
      <c r="A16" s="2" t="n">
        <v>15</v>
      </c>
      <c r="B16" s="3" t="inlineStr">
        <is>
          <t>MOS</t>
        </is>
      </c>
      <c r="C16" s="3" t="inlineStr">
        <is>
          <t>BSS138LT1G</t>
        </is>
      </c>
      <c r="D16" s="3" t="inlineStr">
        <is>
          <t>SOT-23-3_L2.9-W1.6-P1.90-LS2.8-BR</t>
        </is>
      </c>
      <c r="E16" s="4" t="inlineStr">
        <is>
          <t>N-MOS 小信号</t>
        </is>
      </c>
      <c r="F16" s="2" t="n">
        <v>1</v>
      </c>
      <c r="G16" s="2" t="n"/>
      <c r="H16" s="2" t="n"/>
      <c r="I16" s="2">
        <f>SUM(F16:H16)</f>
        <v/>
      </c>
      <c r="J16" s="2">
        <f>ROUNDUP(I16*1.2,0)</f>
        <v/>
      </c>
      <c r="K16" s="4" t="inlineStr">
        <is>
          <t>Q2</t>
        </is>
      </c>
      <c r="L16" s="4" t="n"/>
      <c r="M16" s="4" t="n"/>
      <c r="N16" s="2" t="n"/>
      <c r="O16" s="4" t="inlineStr">
        <is>
          <t>蜂鸣器驱动</t>
        </is>
      </c>
    </row>
    <row r="17">
      <c r="A17" s="2" t="n">
        <v>16</v>
      </c>
      <c r="B17" s="3" t="inlineStr">
        <is>
          <t>二极管</t>
        </is>
      </c>
      <c r="C17" s="3" t="inlineStr">
        <is>
          <t>1N4148W-E3-08</t>
        </is>
      </c>
      <c r="D17" s="3" t="inlineStr">
        <is>
          <t>SOD-123_L2.8-W1.8-LS3.7-RD</t>
        </is>
      </c>
      <c r="E17" s="4" t="inlineStr">
        <is>
          <t>SOD-123</t>
        </is>
      </c>
      <c r="F17" s="2" t="n">
        <v>5</v>
      </c>
      <c r="G17" s="2" t="n"/>
      <c r="H17" s="2" t="n"/>
      <c r="I17" s="2">
        <f>SUM(F17:H17)</f>
        <v/>
      </c>
      <c r="J17" s="2">
        <f>ROUNDUP(I17*1.2,0)</f>
        <v/>
      </c>
      <c r="K17" s="4" t="inlineStr">
        <is>
          <t>D1,D2,D3,D4,D9</t>
        </is>
      </c>
      <c r="L17" s="4" t="n"/>
      <c r="M17" s="4" t="n"/>
      <c r="N17" s="2" t="n"/>
      <c r="O17" s="5" t="inlineStr">
        <is>
          <t>🔴 和 RLY-01 的 D1 位号撞名，采购别混：这是 MAIN-01 的 D1~D4/D9</t>
        </is>
      </c>
    </row>
    <row r="18">
      <c r="A18" s="2" t="n">
        <v>17</v>
      </c>
      <c r="B18" s="3" t="inlineStr">
        <is>
          <t>二极管</t>
        </is>
      </c>
      <c r="C18" s="3" t="inlineStr">
        <is>
          <t>1N4007W</t>
        </is>
      </c>
      <c r="D18" s="3" t="inlineStr">
        <is>
          <t>SOD-123FL_L2.7-W1.8-LS3.8-RD</t>
        </is>
      </c>
      <c r="E18" s="4" t="inlineStr">
        <is>
          <t>1A/1000V SOD-123FL</t>
        </is>
      </c>
      <c r="F18" s="2" t="n"/>
      <c r="G18" s="2" t="n">
        <v>1</v>
      </c>
      <c r="H18" s="2" t="n"/>
      <c r="I18" s="2">
        <f>SUM(F18:H18)</f>
        <v/>
      </c>
      <c r="J18" s="2">
        <f>ROUNDUP(I18*1.2,0)</f>
        <v/>
      </c>
      <c r="K18" s="4" t="n"/>
      <c r="L18" s="4" t="inlineStr">
        <is>
          <t>D1</t>
        </is>
      </c>
      <c r="M18" s="4" t="n"/>
      <c r="N18" s="2" t="n"/>
      <c r="O18" s="5" t="inlineStr">
        <is>
          <t>🔴 RLY-01 的 KSAFE 续流管，续流 320 mA 余量 3.1×。🔴 下单前目视核两条：封装字样必须是 SOD-123FL（本体2.7×1.8/脚跨3.8，别买成 SOD-123 或 M7/SMA）、1 号脚是阴极（色带端）</t>
        </is>
      </c>
    </row>
    <row r="19">
      <c r="A19" s="2" t="n">
        <v>18</v>
      </c>
      <c r="B19" s="3" t="inlineStr">
        <is>
          <t>保护</t>
        </is>
      </c>
      <c r="C19" s="3" t="inlineStr">
        <is>
          <t>BZT52C12-TP</t>
        </is>
      </c>
      <c r="D19" s="3" t="inlineStr">
        <is>
          <t>SOD-123_L2.7-W1.6-LS3.7-RD-A</t>
        </is>
      </c>
      <c r="E19" s="4" t="inlineStr">
        <is>
          <t>稳压 12V</t>
        </is>
      </c>
      <c r="F19" s="2" t="n">
        <v>1</v>
      </c>
      <c r="G19" s="2" t="n"/>
      <c r="H19" s="2" t="n"/>
      <c r="I19" s="2">
        <f>SUM(F19:H19)</f>
        <v/>
      </c>
      <c r="J19" s="2">
        <f>ROUNDUP(I19*1.2,0)</f>
        <v/>
      </c>
      <c r="K19" s="4" t="inlineStr">
        <is>
          <t>D6</t>
        </is>
      </c>
      <c r="L19" s="4" t="n"/>
      <c r="M19" s="4" t="n"/>
      <c r="N19" s="2" t="n"/>
      <c r="O19" s="4" t="inlineStr"/>
    </row>
    <row r="20">
      <c r="A20" s="2" t="n">
        <v>19</v>
      </c>
      <c r="B20" s="3" t="inlineStr">
        <is>
          <t>保护</t>
        </is>
      </c>
      <c r="C20" s="3" t="inlineStr">
        <is>
          <t>SMCJ51A</t>
        </is>
      </c>
      <c r="D20" s="3" t="inlineStr">
        <is>
          <t>SMC_L6.9-W5.9-LS7.9-RD</t>
        </is>
      </c>
      <c r="E20" s="4" t="inlineStr">
        <is>
          <t>TVS 51V</t>
        </is>
      </c>
      <c r="F20" s="2" t="n">
        <v>1</v>
      </c>
      <c r="G20" s="2" t="n"/>
      <c r="H20" s="2" t="n"/>
      <c r="I20" s="2">
        <f>SUM(F20:H20)</f>
        <v/>
      </c>
      <c r="J20" s="2">
        <f>ROUNDUP(I20*1.2,0)</f>
        <v/>
      </c>
      <c r="K20" s="4" t="inlineStr">
        <is>
          <t>D5</t>
        </is>
      </c>
      <c r="L20" s="4" t="n"/>
      <c r="M20" s="4" t="n"/>
      <c r="N20" s="2" t="n"/>
      <c r="O20" s="4" t="inlineStr">
        <is>
          <t>母线钳位</t>
        </is>
      </c>
    </row>
    <row r="21">
      <c r="A21" s="2" t="n">
        <v>20</v>
      </c>
      <c r="B21" s="3" t="inlineStr">
        <is>
          <t>保护</t>
        </is>
      </c>
      <c r="C21" s="3" t="inlineStr">
        <is>
          <t>USBLC6-2SC6</t>
        </is>
      </c>
      <c r="D21" s="3" t="inlineStr">
        <is>
          <t>SOT-23-6_L2.9-W1.6-P0.95-LS2.8-BL</t>
        </is>
      </c>
      <c r="E21" s="4" t="inlineStr">
        <is>
          <t>USB ESD</t>
        </is>
      </c>
      <c r="F21" s="2" t="n">
        <v>1</v>
      </c>
      <c r="G21" s="2" t="n"/>
      <c r="H21" s="2" t="n"/>
      <c r="I21" s="2">
        <f>SUM(F21:H21)</f>
        <v/>
      </c>
      <c r="J21" s="2">
        <f>ROUNDUP(I21*1.2,0)</f>
        <v/>
      </c>
      <c r="K21" s="4" t="inlineStr">
        <is>
          <t>D7</t>
        </is>
      </c>
      <c r="L21" s="4" t="n"/>
      <c r="M21" s="4" t="n"/>
      <c r="N21" s="2" t="n"/>
      <c r="O21" s="4" t="inlineStr"/>
    </row>
    <row r="22">
      <c r="A22" s="2" t="n">
        <v>21</v>
      </c>
      <c r="B22" s="3" t="inlineStr">
        <is>
          <t>光耦</t>
        </is>
      </c>
      <c r="C22" s="3" t="inlineStr">
        <is>
          <t>PC817C</t>
        </is>
      </c>
      <c r="D22" s="3" t="inlineStr">
        <is>
          <t>OPTO-SMD-4_L4.6-W6.5-P2.54-LS10.3-TL</t>
        </is>
      </c>
      <c r="E22" s="4" t="inlineStr">
        <is>
          <t>CTR 档位 C</t>
        </is>
      </c>
      <c r="F22" s="2" t="n">
        <v>5</v>
      </c>
      <c r="G22" s="2" t="n"/>
      <c r="H22" s="2" t="n"/>
      <c r="I22" s="2">
        <f>SUM(F22:H22)</f>
        <v/>
      </c>
      <c r="J22" s="2">
        <f>ROUNDUP(I22*1.2,0)</f>
        <v/>
      </c>
      <c r="K22" s="4" t="inlineStr">
        <is>
          <t>U2,U3,U5,U15,U19</t>
        </is>
      </c>
      <c r="L22" s="4" t="n"/>
      <c r="M22" s="4" t="n"/>
      <c r="N22" s="2" t="n"/>
      <c r="O22" s="4" t="inlineStr">
        <is>
          <t>干接点/互锁监视</t>
        </is>
      </c>
    </row>
    <row r="23">
      <c r="A23" s="2" t="n">
        <v>22</v>
      </c>
      <c r="B23" s="3" t="inlineStr">
        <is>
          <t>继电器</t>
        </is>
      </c>
      <c r="C23" s="3" t="inlineStr">
        <is>
          <t>G5RL-1A-LN DC12</t>
        </is>
      </c>
      <c r="D23" s="3" t="inlineStr">
        <is>
          <t>RELAY-TH_G5RL-1A</t>
        </is>
      </c>
      <c r="E23" s="4" t="inlineStr">
        <is>
          <t>SPST-NO 12V 4脚</t>
        </is>
      </c>
      <c r="F23" s="2" t="n"/>
      <c r="G23" s="2" t="n">
        <v>7</v>
      </c>
      <c r="H23" s="2" t="n"/>
      <c r="I23" s="2">
        <f>SUM(F23:H23)</f>
        <v/>
      </c>
      <c r="J23" s="2">
        <f>ROUNDUP(I23*1.2,0)</f>
        <v/>
      </c>
      <c r="K23" s="4" t="n"/>
      <c r="L23" s="4" t="inlineStr">
        <is>
          <t>K2,K3,K4,K5,K6,K7,K8</t>
        </is>
      </c>
      <c r="M23" s="4" t="n"/>
      <c r="N23" s="2" t="n"/>
      <c r="O23" s="5" t="inlineStr">
        <is>
          <t>🔴 订货必须是 4 脚 -LN，不是 6 脚 -E-LN（焊盘对不上）；线圈 272Ω/44.2mA</t>
        </is>
      </c>
    </row>
    <row r="24">
      <c r="A24" s="2" t="n">
        <v>23</v>
      </c>
      <c r="B24" s="3" t="inlineStr">
        <is>
          <t>继电器</t>
        </is>
      </c>
      <c r="C24" s="3" t="inlineStr">
        <is>
          <t>G2RL-2-DC12</t>
        </is>
      </c>
      <c r="D24" s="3" t="inlineStr">
        <is>
          <t>RELAY-TH_G2RL-2</t>
        </is>
      </c>
      <c r="E24" s="4" t="inlineStr">
        <is>
          <t>DPDT 12V</t>
        </is>
      </c>
      <c r="F24" s="2" t="n"/>
      <c r="G24" s="2" t="n">
        <v>1</v>
      </c>
      <c r="H24" s="2" t="n"/>
      <c r="I24" s="2">
        <f>SUM(F24:H24)</f>
        <v/>
      </c>
      <c r="J24" s="2">
        <f>ROUNDUP(I24*1.2,0)</f>
        <v/>
      </c>
      <c r="K24" s="4" t="n"/>
      <c r="L24" s="4" t="inlineStr">
        <is>
          <t>K1</t>
        </is>
      </c>
      <c r="M24" s="4" t="n"/>
      <c r="N24" s="2" t="n"/>
      <c r="O24" s="4" t="inlineStr">
        <is>
          <t>线圈 360Ω/33.3mA；断电默认 TR_LOW</t>
        </is>
      </c>
    </row>
    <row r="25">
      <c r="A25" s="2" t="n">
        <v>24</v>
      </c>
      <c r="B25" s="3" t="inlineStr">
        <is>
          <t>分流器</t>
        </is>
      </c>
      <c r="C25" s="3" t="inlineStr">
        <is>
          <t>PCS-10W</t>
        </is>
      </c>
      <c r="D25" s="3" t="inlineStr">
        <is>
          <t>PCS-10W</t>
        </is>
      </c>
      <c r="E25" s="5" t="inlineStr">
        <is>
          <t>🔴 PCS-10W 15mR 0.5% 25PPM</t>
        </is>
      </c>
      <c r="F25" s="2" t="n"/>
      <c r="G25" s="2" t="n"/>
      <c r="H25" s="2" t="n">
        <v>1</v>
      </c>
      <c r="I25" s="2">
        <f>SUM(F25:H25)</f>
        <v/>
      </c>
      <c r="J25" s="2">
        <f>ROUNDUP(I25*1.2,0)</f>
        <v/>
      </c>
      <c r="K25" s="4" t="n"/>
      <c r="L25" s="4" t="n"/>
      <c r="M25" s="4" t="inlineStr">
        <is>
          <t>RS1</t>
        </is>
      </c>
      <c r="N25" s="2" t="n"/>
      <c r="O25" s="5" t="inlineStr">
        <is>
          <t>🔴 订货三项写全，缺一不可。🔴 向厂家问残余电感 L_s（1 nH = 0.24°@10kHz）。🔴 两颗 M3 在带电侧，绝不能用金属柱连机箱</t>
        </is>
      </c>
    </row>
    <row r="26">
      <c r="A26" s="2" t="n">
        <v>25</v>
      </c>
      <c r="B26" s="3" t="inlineStr">
        <is>
          <t>保险丝</t>
        </is>
      </c>
      <c r="C26" s="3" t="inlineStr">
        <is>
          <t>BSMD1206C-1100T</t>
        </is>
      </c>
      <c r="D26" s="3" t="inlineStr">
        <is>
          <t>F1206</t>
        </is>
      </c>
      <c r="E26" s="4" t="inlineStr">
        <is>
          <t>自恢复 1.1A</t>
        </is>
      </c>
      <c r="F26" s="2" t="n">
        <v>4</v>
      </c>
      <c r="G26" s="2" t="n"/>
      <c r="H26" s="2" t="n"/>
      <c r="I26" s="2">
        <f>SUM(F26:H26)</f>
        <v/>
      </c>
      <c r="J26" s="2">
        <f>ROUNDUP(I26*1.2,0)</f>
        <v/>
      </c>
      <c r="K26" s="4" t="inlineStr">
        <is>
          <t>F2,F3,F5,F6</t>
        </is>
      </c>
      <c r="L26" s="4" t="n"/>
      <c r="M26" s="4" t="n"/>
      <c r="N26" s="2" t="n"/>
      <c r="O26" s="4" t="inlineStr"/>
    </row>
    <row r="27">
      <c r="A27" s="2" t="n">
        <v>26</v>
      </c>
      <c r="B27" s="3" t="inlineStr">
        <is>
          <t>保险丝</t>
        </is>
      </c>
      <c r="C27" s="3" t="inlineStr">
        <is>
          <t>0001.2512.TR</t>
        </is>
      </c>
      <c r="D27" s="3" t="inlineStr">
        <is>
          <t>FUSE-TH_BD5.4-W22.5-P27.5-D0.8</t>
        </is>
      </c>
      <c r="E27" s="4" t="inlineStr">
        <is>
          <t>6.3A 陶瓷管</t>
        </is>
      </c>
      <c r="F27" s="2" t="n">
        <v>1</v>
      </c>
      <c r="G27" s="2" t="n"/>
      <c r="H27" s="2" t="n"/>
      <c r="I27" s="2">
        <f>SUM(F27:H27)</f>
        <v/>
      </c>
      <c r="J27" s="2">
        <f>ROUNDUP(I27*1.2,0)</f>
        <v/>
      </c>
      <c r="K27" s="4" t="inlineStr">
        <is>
          <t>F1</t>
        </is>
      </c>
      <c r="L27" s="4" t="n"/>
      <c r="M27" s="4" t="n"/>
      <c r="N27" s="2" t="n"/>
      <c r="O27" s="5" t="inlineStr">
        <is>
          <t>🔴 必须确认是慢熔(T)（待决 #37）</t>
        </is>
      </c>
    </row>
    <row r="28">
      <c r="A28" s="2" t="n">
        <v>27</v>
      </c>
      <c r="B28" s="3" t="inlineStr">
        <is>
          <t>保险丝</t>
        </is>
      </c>
      <c r="C28" s="3" t="inlineStr">
        <is>
          <t>BSMD1206C-1400T</t>
        </is>
      </c>
      <c r="D28" s="3" t="inlineStr">
        <is>
          <t>F1206</t>
        </is>
      </c>
      <c r="E28" s="4" t="inlineStr">
        <is>
          <t>自恢复 1.4A</t>
        </is>
      </c>
      <c r="F28" s="2" t="n">
        <v>1</v>
      </c>
      <c r="G28" s="2" t="n"/>
      <c r="H28" s="2" t="n"/>
      <c r="I28" s="2">
        <f>SUM(F28:H28)</f>
        <v/>
      </c>
      <c r="J28" s="2">
        <f>ROUNDUP(I28*1.2,0)</f>
        <v/>
      </c>
      <c r="K28" s="4" t="inlineStr">
        <is>
          <t>F4</t>
        </is>
      </c>
      <c r="L28" s="4" t="n"/>
      <c r="M28" s="4" t="n"/>
      <c r="N28" s="2" t="n"/>
      <c r="O28" s="4" t="inlineStr"/>
    </row>
    <row r="29">
      <c r="A29" s="2" t="n">
        <v>28</v>
      </c>
      <c r="B29" s="3" t="inlineStr">
        <is>
          <t>晶振</t>
        </is>
      </c>
      <c r="C29" s="3" t="inlineStr">
        <is>
          <t>32.768kHz</t>
        </is>
      </c>
      <c r="D29" s="3" t="inlineStr">
        <is>
          <t>CRYSTAL-SMD_L3.2-W1.5-1</t>
        </is>
      </c>
      <c r="E29" s="4" t="inlineStr">
        <is>
          <t>±20ppm LSE</t>
        </is>
      </c>
      <c r="F29" s="2" t="n">
        <v>1</v>
      </c>
      <c r="G29" s="2" t="n"/>
      <c r="H29" s="2" t="n"/>
      <c r="I29" s="2">
        <f>SUM(F29:H29)</f>
        <v/>
      </c>
      <c r="J29" s="2">
        <f>ROUNDUP(I29*1.2,0)</f>
        <v/>
      </c>
      <c r="K29" s="4" t="inlineStr">
        <is>
          <t>X1</t>
        </is>
      </c>
      <c r="L29" s="4" t="n"/>
      <c r="M29" s="4" t="n"/>
      <c r="N29" s="2" t="n"/>
      <c r="O29" s="4" t="inlineStr">
        <is>
          <t>🟡 标称 CL 待核实（决定 C28/C29 取值，待决 #16）</t>
        </is>
      </c>
    </row>
    <row r="30">
      <c r="A30" s="2" t="n">
        <v>29</v>
      </c>
      <c r="B30" s="3" t="inlineStr">
        <is>
          <t>晶振</t>
        </is>
      </c>
      <c r="C30" s="3" t="inlineStr">
        <is>
          <t>8MHz</t>
        </is>
      </c>
      <c r="D30" s="3" t="inlineStr">
        <is>
          <t>CRYSTAL-SMD_L5.0-W3.2</t>
        </is>
      </c>
      <c r="E30" s="4" t="inlineStr">
        <is>
          <t>±20ppm HSE</t>
        </is>
      </c>
      <c r="F30" s="2" t="n">
        <v>1</v>
      </c>
      <c r="G30" s="2" t="n"/>
      <c r="H30" s="2" t="n"/>
      <c r="I30" s="2">
        <f>SUM(F30:H30)</f>
        <v/>
      </c>
      <c r="J30" s="2">
        <f>ROUNDUP(I30*1.2,0)</f>
        <v/>
      </c>
      <c r="K30" s="4" t="inlineStr">
        <is>
          <t>U17</t>
        </is>
      </c>
      <c r="L30" s="4" t="n"/>
      <c r="M30" s="4" t="n"/>
      <c r="N30" s="2" t="n"/>
      <c r="O30" s="4" t="inlineStr"/>
    </row>
    <row r="31">
      <c r="A31" s="2" t="n">
        <v>30</v>
      </c>
      <c r="B31" s="3" t="inlineStr">
        <is>
          <t>发声</t>
        </is>
      </c>
      <c r="C31" s="3" t="inlineStr">
        <is>
          <t>2.4kHz</t>
        </is>
      </c>
      <c r="D31" s="3" t="inlineStr">
        <is>
          <t>BUZ-TH_BD12.0-P7.60-D0.6-FD</t>
        </is>
      </c>
      <c r="E31" s="4" t="inlineStr">
        <is>
          <t>有源蜂鸣器 12V</t>
        </is>
      </c>
      <c r="F31" s="2" t="n">
        <v>1</v>
      </c>
      <c r="G31" s="2" t="n"/>
      <c r="H31" s="2" t="n"/>
      <c r="I31" s="2">
        <f>SUM(F31:H31)</f>
        <v/>
      </c>
      <c r="J31" s="2">
        <f>ROUNDUP(I31*1.2,0)</f>
        <v/>
      </c>
      <c r="K31" s="4" t="inlineStr">
        <is>
          <t>BUZZER1</t>
        </is>
      </c>
      <c r="L31" s="4" t="n"/>
      <c r="M31" s="4" t="n"/>
      <c r="N31" s="2" t="n"/>
      <c r="O31" s="4" t="inlineStr">
        <is>
          <t>🟡 软件：相干采样窗口期间别让它响（它就在 2~4 kHz）</t>
        </is>
      </c>
    </row>
    <row r="32">
      <c r="A32" s="2" t="n">
        <v>31</v>
      </c>
      <c r="B32" s="3" t="inlineStr">
        <is>
          <t>电阻</t>
        </is>
      </c>
      <c r="C32" s="3" t="inlineStr">
        <is>
          <t>100Ω</t>
        </is>
      </c>
      <c r="D32" s="3" t="inlineStr">
        <is>
          <t>R0603</t>
        </is>
      </c>
      <c r="E32" s="4" t="inlineStr">
        <is>
          <t>±1% 同批次</t>
        </is>
      </c>
      <c r="F32" s="2" t="n">
        <v>14</v>
      </c>
      <c r="G32" s="2" t="n"/>
      <c r="H32" s="2" t="n"/>
      <c r="I32" s="2">
        <f>SUM(F32:H32)</f>
        <v/>
      </c>
      <c r="J32" s="2">
        <f>ROUNDUP(I32*1.2,0)</f>
        <v/>
      </c>
      <c r="K32" s="4" t="inlineStr">
        <is>
          <t>R34,R35,R36,R37,R40,R41,R52,R53,R57,R58,R59,R60,R61,R62</t>
        </is>
      </c>
      <c r="L32" s="4" t="n"/>
      <c r="M32" s="4" t="n"/>
      <c r="N32" s="2" t="n"/>
      <c r="O32" s="5" t="inlineStr">
        <is>
          <t>🔴 含 R34~R37 抗混叠 —— f_c 每差 1% = 0.0736° 相位误差，四只必须同批次</t>
        </is>
      </c>
    </row>
    <row r="33">
      <c r="A33" s="6" t="n">
        <v>32</v>
      </c>
      <c r="B33" s="7" t="inlineStr">
        <is>
          <t>电阻</t>
        </is>
      </c>
      <c r="C33" s="7" t="inlineStr">
        <is>
          <t>10kΩ</t>
        </is>
      </c>
      <c r="D33" s="7" t="inlineStr">
        <is>
          <t>R0603</t>
        </is>
      </c>
      <c r="E33" s="8" t="inlineStr">
        <is>
          <t>±1% 厚膜</t>
        </is>
      </c>
      <c r="F33" s="6" t="n">
        <v>4</v>
      </c>
      <c r="G33" s="6" t="n">
        <v>8</v>
      </c>
      <c r="H33" s="6" t="n"/>
      <c r="I33" s="6">
        <f>SUM(F33:H33)</f>
        <v/>
      </c>
      <c r="J33" s="6">
        <f>ROUNDUP(I33*1.2,0)</f>
        <v/>
      </c>
      <c r="K33" s="8" t="inlineStr">
        <is>
          <t>R1,R3,R5,R7</t>
        </is>
      </c>
      <c r="L33" s="8" t="inlineStr">
        <is>
          <t>R1,R2,R3,R4,R5,R6,R7,R8</t>
        </is>
      </c>
      <c r="M33" s="8" t="n"/>
      <c r="N33" s="6" t="inlineStr">
        <is>
          <t>★</t>
        </is>
      </c>
      <c r="O33" s="8" t="inlineStr"/>
    </row>
    <row r="34">
      <c r="A34" s="2" t="n">
        <v>33</v>
      </c>
      <c r="B34" s="3" t="inlineStr">
        <is>
          <t>电阻</t>
        </is>
      </c>
      <c r="C34" s="3" t="inlineStr">
        <is>
          <t>10kΩ</t>
        </is>
      </c>
      <c r="D34" s="3" t="inlineStr">
        <is>
          <t>R0805</t>
        </is>
      </c>
      <c r="E34" s="4" t="inlineStr">
        <is>
          <t>±1% 厚膜</t>
        </is>
      </c>
      <c r="F34" s="2" t="n">
        <v>10</v>
      </c>
      <c r="G34" s="2" t="n"/>
      <c r="H34" s="2" t="n"/>
      <c r="I34" s="2">
        <f>SUM(F34:H34)</f>
        <v/>
      </c>
      <c r="J34" s="2">
        <f>ROUNDUP(I34*1.2,0)</f>
        <v/>
      </c>
      <c r="K34" s="4" t="inlineStr">
        <is>
          <t>R15,R19,R21,R30,R31,R32,R33,R47,R55,R56</t>
        </is>
      </c>
      <c r="L34" s="4" t="n"/>
      <c r="M34" s="4" t="n"/>
      <c r="N34" s="2" t="n"/>
      <c r="O34" s="4" t="inlineStr"/>
    </row>
    <row r="35">
      <c r="A35" s="2" t="n">
        <v>34</v>
      </c>
      <c r="B35" s="3" t="inlineStr">
        <is>
          <t>电阻</t>
        </is>
      </c>
      <c r="C35" s="3" t="inlineStr">
        <is>
          <t>1kΩ</t>
        </is>
      </c>
      <c r="D35" s="3" t="inlineStr">
        <is>
          <t>R0603</t>
        </is>
      </c>
      <c r="E35" s="4" t="inlineStr">
        <is>
          <t>±1% 厚膜</t>
        </is>
      </c>
      <c r="F35" s="2" t="n">
        <v>8</v>
      </c>
      <c r="G35" s="2" t="n"/>
      <c r="H35" s="2" t="n"/>
      <c r="I35" s="2">
        <f>SUM(F35:H35)</f>
        <v/>
      </c>
      <c r="J35" s="2">
        <f>ROUNDUP(I35*1.2,0)</f>
        <v/>
      </c>
      <c r="K35" s="4" t="inlineStr">
        <is>
          <t>R2,R4,R6,R8,R23,R45,R49,R51</t>
        </is>
      </c>
      <c r="L35" s="4" t="n"/>
      <c r="M35" s="4" t="n"/>
      <c r="N35" s="2" t="n"/>
      <c r="O35" s="4" t="inlineStr"/>
    </row>
    <row r="36">
      <c r="A36" s="2" t="n">
        <v>35</v>
      </c>
      <c r="B36" s="3" t="inlineStr">
        <is>
          <t>电阻</t>
        </is>
      </c>
      <c r="C36" s="3" t="inlineStr">
        <is>
          <t>51kΩ</t>
        </is>
      </c>
      <c r="D36" s="3" t="inlineStr">
        <is>
          <t>R0805</t>
        </is>
      </c>
      <c r="E36" s="5" t="inlineStr">
        <is>
          <t>🔴 ±0.1% 薄膜 ≤25ppm/°C</t>
        </is>
      </c>
      <c r="F36" s="2" t="n"/>
      <c r="G36" s="2" t="n"/>
      <c r="H36" s="2" t="n">
        <v>7</v>
      </c>
      <c r="I36" s="2">
        <f>SUM(F36:H36)</f>
        <v/>
      </c>
      <c r="J36" s="2">
        <f>ROUNDUP(I36*1.2,0)</f>
        <v/>
      </c>
      <c r="K36" s="4" t="n"/>
      <c r="L36" s="4" t="n"/>
      <c r="M36" s="4" t="inlineStr">
        <is>
          <t>R12,R13,R14,R15,R16,R17,R18</t>
        </is>
      </c>
      <c r="N36" s="2" t="n"/>
      <c r="O36" s="5" t="inlineStr">
        <is>
          <t>🔴 测量分压链 443.9:1，直接进电压读数；±1% 厚膜 100ppm/°C 在 40 °C 上漂 0.4%，标定值跟着漂</t>
        </is>
      </c>
    </row>
    <row r="37">
      <c r="A37" s="6" t="n">
        <v>36</v>
      </c>
      <c r="B37" s="7" t="inlineStr">
        <is>
          <t>电阻</t>
        </is>
      </c>
      <c r="C37" s="7" t="inlineStr">
        <is>
          <t>10Ω</t>
        </is>
      </c>
      <c r="D37" s="7" t="inlineStr">
        <is>
          <t>R0805</t>
        </is>
      </c>
      <c r="E37" s="8" t="inlineStr">
        <is>
          <t>±1%</t>
        </is>
      </c>
      <c r="F37" s="6" t="n">
        <v>1</v>
      </c>
      <c r="G37" s="6" t="n"/>
      <c r="H37" s="6" t="n">
        <v>4</v>
      </c>
      <c r="I37" s="6">
        <f>SUM(F37:H37)</f>
        <v/>
      </c>
      <c r="J37" s="6">
        <f>ROUNDUP(I37*1.2,0)</f>
        <v/>
      </c>
      <c r="K37" s="8" t="inlineStr">
        <is>
          <t>R43</t>
        </is>
      </c>
      <c r="L37" s="8" t="n"/>
      <c r="M37" s="8" t="inlineStr">
        <is>
          <t>R1,R7,R8,R9</t>
        </is>
      </c>
      <c r="N37" s="6" t="inlineStr">
        <is>
          <t>★</t>
        </is>
      </c>
      <c r="O37" s="8" t="inlineStr">
        <is>
          <t>★ 跨板合并：MAIN-01 R43（AMP_GND→AGND 限环流）+ SNS-01 AMC 输入滤波</t>
        </is>
      </c>
    </row>
    <row r="38">
      <c r="A38" s="2" t="n">
        <v>37</v>
      </c>
      <c r="B38" s="3" t="inlineStr">
        <is>
          <t>电阻</t>
        </is>
      </c>
      <c r="C38" s="3" t="inlineStr">
        <is>
          <t>3.3kΩ</t>
        </is>
      </c>
      <c r="D38" s="3" t="inlineStr">
        <is>
          <t>R0805</t>
        </is>
      </c>
      <c r="E38" s="4" t="inlineStr">
        <is>
          <t>±1% 厚膜</t>
        </is>
      </c>
      <c r="F38" s="2" t="n">
        <v>4</v>
      </c>
      <c r="G38" s="2" t="n"/>
      <c r="H38" s="2" t="n"/>
      <c r="I38" s="2">
        <f>SUM(F38:H38)</f>
        <v/>
      </c>
      <c r="J38" s="2">
        <f>ROUNDUP(I38*1.2,0)</f>
        <v/>
      </c>
      <c r="K38" s="4" t="inlineStr">
        <is>
          <t>R9,R10,R11,R12</t>
        </is>
      </c>
      <c r="L38" s="4" t="n"/>
      <c r="M38" s="4" t="n"/>
      <c r="N38" s="2" t="n"/>
      <c r="O38" s="4" t="inlineStr"/>
    </row>
    <row r="39">
      <c r="A39" s="2" t="n">
        <v>38</v>
      </c>
      <c r="B39" s="3" t="inlineStr">
        <is>
          <t>电阻</t>
        </is>
      </c>
      <c r="C39" s="3" t="inlineStr">
        <is>
          <t>402kΩ</t>
        </is>
      </c>
      <c r="D39" s="3" t="inlineStr">
        <is>
          <t>R1206</t>
        </is>
      </c>
      <c r="E39" s="4" t="inlineStr">
        <is>
          <t>±1% ≥200V</t>
        </is>
      </c>
      <c r="F39" s="2" t="n"/>
      <c r="G39" s="2" t="n"/>
      <c r="H39" s="2" t="n">
        <v>4</v>
      </c>
      <c r="I39" s="2">
        <f>SUM(F39:H39)</f>
        <v/>
      </c>
      <c r="J39" s="2">
        <f>ROUNDUP(I39*1.2,0)</f>
        <v/>
      </c>
      <c r="K39" s="4" t="n"/>
      <c r="L39" s="4" t="n"/>
      <c r="M39" s="4" t="inlineStr">
        <is>
          <t>R2,R3,R4,R5</t>
        </is>
      </c>
      <c r="N39" s="2" t="n"/>
      <c r="O39" s="4" t="inlineStr">
        <is>
          <t>OV 保护分压链；选 1206 就是为了单只耐压（每只约 56 Vrms）</t>
        </is>
      </c>
    </row>
    <row r="40">
      <c r="A40" s="2" t="n">
        <v>39</v>
      </c>
      <c r="B40" s="3" t="inlineStr">
        <is>
          <t>电阻</t>
        </is>
      </c>
      <c r="C40" s="3" t="inlineStr">
        <is>
          <t>0Ω</t>
        </is>
      </c>
      <c r="D40" s="3" t="inlineStr">
        <is>
          <t>R0805</t>
        </is>
      </c>
      <c r="E40" s="4" t="inlineStr">
        <is>
          <t>0Ω ≥1A</t>
        </is>
      </c>
      <c r="F40" s="2" t="n">
        <v>3</v>
      </c>
      <c r="G40" s="2" t="n"/>
      <c r="H40" s="2" t="n"/>
      <c r="I40" s="2">
        <f>SUM(F40:H40)</f>
        <v/>
      </c>
      <c r="J40" s="2">
        <f>ROUNDUP(I40*1.2,0)</f>
        <v/>
      </c>
      <c r="K40" s="4" t="inlineStr">
        <is>
          <t>R13,R16,R46</t>
        </is>
      </c>
      <c r="L40" s="4" t="n"/>
      <c r="M40" s="4" t="n"/>
      <c r="N40" s="2" t="n"/>
      <c r="O40" s="5" t="inlineStr">
        <is>
          <t>🔴 R13/R16 是全机星点（ADR-004），R46 是 SHIELD→AGND；0805 载流足够</t>
        </is>
      </c>
    </row>
    <row r="41">
      <c r="A41" s="2" t="n">
        <v>40</v>
      </c>
      <c r="B41" s="3" t="inlineStr">
        <is>
          <t>电阻</t>
        </is>
      </c>
      <c r="C41" s="3" t="inlineStr">
        <is>
          <t>22kΩ</t>
        </is>
      </c>
      <c r="D41" s="3" t="inlineStr">
        <is>
          <t>R0603</t>
        </is>
      </c>
      <c r="E41" s="4" t="inlineStr">
        <is>
          <t>±1% 厚膜</t>
        </is>
      </c>
      <c r="F41" s="2" t="n">
        <v>3</v>
      </c>
      <c r="G41" s="2" t="n"/>
      <c r="H41" s="2" t="n"/>
      <c r="I41" s="2">
        <f>SUM(F41:H41)</f>
        <v/>
      </c>
      <c r="J41" s="2">
        <f>ROUNDUP(I41*1.2,0)</f>
        <v/>
      </c>
      <c r="K41" s="4" t="inlineStr">
        <is>
          <t>R44,R48,R50</t>
        </is>
      </c>
      <c r="L41" s="4" t="n"/>
      <c r="M41" s="4" t="n"/>
      <c r="N41" s="2" t="n"/>
      <c r="O41" s="4" t="inlineStr"/>
    </row>
    <row r="42">
      <c r="A42" s="2" t="n">
        <v>41</v>
      </c>
      <c r="B42" s="3" t="inlineStr">
        <is>
          <t>电阻</t>
        </is>
      </c>
      <c r="C42" s="3" t="inlineStr">
        <is>
          <t>4.7kΩ</t>
        </is>
      </c>
      <c r="D42" s="3" t="inlineStr">
        <is>
          <t>R0603</t>
        </is>
      </c>
      <c r="E42" s="4" t="inlineStr">
        <is>
          <t>±1% 厚膜</t>
        </is>
      </c>
      <c r="F42" s="2" t="n">
        <v>3</v>
      </c>
      <c r="G42" s="2" t="n"/>
      <c r="H42" s="2" t="n"/>
      <c r="I42" s="2">
        <f>SUM(F42:H42)</f>
        <v/>
      </c>
      <c r="J42" s="2">
        <f>ROUNDUP(I42*1.2,0)</f>
        <v/>
      </c>
      <c r="K42" s="4" t="inlineStr">
        <is>
          <t>R17,R18,R25</t>
        </is>
      </c>
      <c r="L42" s="4" t="n"/>
      <c r="M42" s="4" t="n"/>
      <c r="N42" s="2" t="n"/>
      <c r="O42" s="4" t="inlineStr"/>
    </row>
    <row r="43">
      <c r="A43" s="2" t="n">
        <v>42</v>
      </c>
      <c r="B43" s="3" t="inlineStr">
        <is>
          <t>电阻</t>
        </is>
      </c>
      <c r="C43" s="3" t="inlineStr">
        <is>
          <t>100kΩ</t>
        </is>
      </c>
      <c r="D43" s="3" t="inlineStr">
        <is>
          <t>R0805</t>
        </is>
      </c>
      <c r="E43" s="4" t="inlineStr">
        <is>
          <t>±1% 厚膜</t>
        </is>
      </c>
      <c r="F43" s="2" t="n">
        <v>2</v>
      </c>
      <c r="G43" s="2" t="n"/>
      <c r="H43" s="2" t="n"/>
      <c r="I43" s="2">
        <f>SUM(F43:H43)</f>
        <v/>
      </c>
      <c r="J43" s="2">
        <f>ROUNDUP(I43*1.2,0)</f>
        <v/>
      </c>
      <c r="K43" s="4" t="inlineStr">
        <is>
          <t>R28,R29</t>
        </is>
      </c>
      <c r="L43" s="4" t="n"/>
      <c r="M43" s="4" t="n"/>
      <c r="N43" s="2" t="n"/>
      <c r="O43" s="4" t="inlineStr"/>
    </row>
    <row r="44">
      <c r="A44" s="2" t="n">
        <v>43</v>
      </c>
      <c r="B44" s="3" t="inlineStr">
        <is>
          <t>电阻</t>
        </is>
      </c>
      <c r="C44" s="3" t="inlineStr">
        <is>
          <t>100Ω</t>
        </is>
      </c>
      <c r="D44" s="3" t="inlineStr">
        <is>
          <t>RES-ARRAY-SMD_0402-8P-L2.0-W1.0-BL</t>
        </is>
      </c>
      <c r="E44" s="4" t="inlineStr">
        <is>
          <t>±1% 排阻 0402x8</t>
        </is>
      </c>
      <c r="F44" s="2" t="n">
        <v>2</v>
      </c>
      <c r="G44" s="2" t="n"/>
      <c r="H44" s="2" t="n"/>
      <c r="I44" s="2">
        <f>SUM(F44:H44)</f>
        <v/>
      </c>
      <c r="J44" s="2">
        <f>ROUNDUP(I44*1.2,0)</f>
        <v/>
      </c>
      <c r="K44" s="4" t="inlineStr">
        <is>
          <t>RN3,RN4</t>
        </is>
      </c>
      <c r="L44" s="4" t="n"/>
      <c r="M44" s="4" t="n"/>
      <c r="N44" s="2" t="n"/>
      <c r="O44" s="4" t="inlineStr">
        <is>
          <t>贴 U1.1~.8 的 8 只下拉/上拉，用排阻省面积</t>
        </is>
      </c>
    </row>
    <row r="45">
      <c r="A45" s="6" t="n">
        <v>44</v>
      </c>
      <c r="B45" s="7" t="inlineStr">
        <is>
          <t>电阻</t>
        </is>
      </c>
      <c r="C45" s="7" t="inlineStr">
        <is>
          <t>1kΩ</t>
        </is>
      </c>
      <c r="D45" s="7" t="inlineStr">
        <is>
          <t>R0805</t>
        </is>
      </c>
      <c r="E45" s="8" t="inlineStr">
        <is>
          <t>±1% 厚膜</t>
        </is>
      </c>
      <c r="F45" s="6" t="n">
        <v>1</v>
      </c>
      <c r="G45" s="6" t="n"/>
      <c r="H45" s="6" t="n">
        <v>1</v>
      </c>
      <c r="I45" s="6">
        <f>SUM(F45:H45)</f>
        <v/>
      </c>
      <c r="J45" s="6">
        <f>ROUNDUP(I45*1.2,0)</f>
        <v/>
      </c>
      <c r="K45" s="8" t="inlineStr">
        <is>
          <t>R14</t>
        </is>
      </c>
      <c r="L45" s="8" t="n"/>
      <c r="M45" s="8" t="inlineStr">
        <is>
          <t>R6</t>
        </is>
      </c>
      <c r="N45" s="6" t="inlineStr">
        <is>
          <t>★</t>
        </is>
      </c>
      <c r="O45" s="8" t="inlineStr"/>
    </row>
    <row r="46">
      <c r="A46" s="2" t="n">
        <v>45</v>
      </c>
      <c r="B46" s="3" t="inlineStr">
        <is>
          <t>电阻</t>
        </is>
      </c>
      <c r="C46" s="3" t="inlineStr">
        <is>
          <t>2.2kΩ</t>
        </is>
      </c>
      <c r="D46" s="3" t="inlineStr">
        <is>
          <t>R0603</t>
        </is>
      </c>
      <c r="E46" s="4" t="inlineStr">
        <is>
          <t>±1% 厚膜</t>
        </is>
      </c>
      <c r="F46" s="2" t="n">
        <v>2</v>
      </c>
      <c r="G46" s="2" t="n"/>
      <c r="H46" s="2" t="n"/>
      <c r="I46" s="2">
        <f>SUM(F46:H46)</f>
        <v/>
      </c>
      <c r="J46" s="2">
        <f>ROUNDUP(I46*1.2,0)</f>
        <v/>
      </c>
      <c r="K46" s="4" t="inlineStr">
        <is>
          <t>R54,R65</t>
        </is>
      </c>
      <c r="L46" s="4" t="n"/>
      <c r="M46" s="4" t="n"/>
      <c r="N46" s="2" t="n"/>
      <c r="O46" s="4" t="inlineStr"/>
    </row>
    <row r="47">
      <c r="A47" s="2" t="n">
        <v>46</v>
      </c>
      <c r="B47" s="3" t="inlineStr">
        <is>
          <t>电阻</t>
        </is>
      </c>
      <c r="C47" s="3" t="inlineStr">
        <is>
          <t>2kΩ</t>
        </is>
      </c>
      <c r="D47" s="3" t="inlineStr">
        <is>
          <t>R0603</t>
        </is>
      </c>
      <c r="E47" s="4" t="inlineStr">
        <is>
          <t>±1% 厚膜</t>
        </is>
      </c>
      <c r="F47" s="2" t="n">
        <v>2</v>
      </c>
      <c r="G47" s="2" t="n"/>
      <c r="H47" s="2" t="n"/>
      <c r="I47" s="2">
        <f>SUM(F47:H47)</f>
        <v/>
      </c>
      <c r="J47" s="2">
        <f>ROUNDUP(I47*1.2,0)</f>
        <v/>
      </c>
      <c r="K47" s="4" t="inlineStr">
        <is>
          <t>R38,R39</t>
        </is>
      </c>
      <c r="L47" s="4" t="n"/>
      <c r="M47" s="4" t="n"/>
      <c r="N47" s="2" t="n"/>
      <c r="O47" s="4" t="inlineStr"/>
    </row>
    <row r="48">
      <c r="A48" s="2" t="n">
        <v>47</v>
      </c>
      <c r="B48" s="3" t="inlineStr">
        <is>
          <t>电阻</t>
        </is>
      </c>
      <c r="C48" s="3" t="inlineStr">
        <is>
          <t>33Ω</t>
        </is>
      </c>
      <c r="D48" s="3" t="inlineStr">
        <is>
          <t>R0603</t>
        </is>
      </c>
      <c r="E48" s="4" t="inlineStr">
        <is>
          <t>±1% 厚膜</t>
        </is>
      </c>
      <c r="F48" s="2" t="n">
        <v>2</v>
      </c>
      <c r="G48" s="2" t="n"/>
      <c r="H48" s="2" t="n"/>
      <c r="I48" s="2">
        <f>SUM(F48:H48)</f>
        <v/>
      </c>
      <c r="J48" s="2">
        <f>ROUNDUP(I48*1.2,0)</f>
        <v/>
      </c>
      <c r="K48" s="4" t="inlineStr">
        <is>
          <t>R63,R64</t>
        </is>
      </c>
      <c r="L48" s="4" t="n"/>
      <c r="M48" s="4" t="n"/>
      <c r="N48" s="2" t="n"/>
      <c r="O48" s="4" t="inlineStr"/>
    </row>
    <row r="49">
      <c r="A49" s="2" t="n">
        <v>48</v>
      </c>
      <c r="B49" s="3" t="inlineStr">
        <is>
          <t>电阻</t>
        </is>
      </c>
      <c r="C49" s="3" t="inlineStr">
        <is>
          <t>5.1kΩ</t>
        </is>
      </c>
      <c r="D49" s="3" t="inlineStr">
        <is>
          <t>R0603</t>
        </is>
      </c>
      <c r="E49" s="4" t="inlineStr">
        <is>
          <t>±1% 厚膜</t>
        </is>
      </c>
      <c r="F49" s="2" t="n">
        <v>2</v>
      </c>
      <c r="G49" s="2" t="n"/>
      <c r="H49" s="2" t="n"/>
      <c r="I49" s="2">
        <f>SUM(F49:H49)</f>
        <v/>
      </c>
      <c r="J49" s="2">
        <f>ROUNDUP(I49*1.2,0)</f>
        <v/>
      </c>
      <c r="K49" s="4" t="inlineStr">
        <is>
          <t>R22,R24</t>
        </is>
      </c>
      <c r="L49" s="4" t="n"/>
      <c r="M49" s="4" t="n"/>
      <c r="N49" s="2" t="n"/>
      <c r="O49" s="4" t="inlineStr"/>
    </row>
    <row r="50">
      <c r="A50" s="2" t="n">
        <v>49</v>
      </c>
      <c r="B50" s="3" t="inlineStr">
        <is>
          <t>电阻</t>
        </is>
      </c>
      <c r="C50" s="3" t="inlineStr">
        <is>
          <t>100kΩ</t>
        </is>
      </c>
      <c r="D50" s="3" t="inlineStr">
        <is>
          <t>R0603</t>
        </is>
      </c>
      <c r="E50" s="4" t="inlineStr">
        <is>
          <t>±1% 厚膜</t>
        </is>
      </c>
      <c r="F50" s="2" t="n">
        <v>1</v>
      </c>
      <c r="G50" s="2" t="n"/>
      <c r="H50" s="2" t="n"/>
      <c r="I50" s="2">
        <f>SUM(F50:H50)</f>
        <v/>
      </c>
      <c r="J50" s="2">
        <f>ROUNDUP(I50*1.2,0)</f>
        <v/>
      </c>
      <c r="K50" s="4" t="inlineStr">
        <is>
          <t>R42</t>
        </is>
      </c>
      <c r="L50" s="4" t="n"/>
      <c r="M50" s="4" t="n"/>
      <c r="N50" s="2" t="n"/>
      <c r="O50" s="4" t="inlineStr"/>
    </row>
    <row r="51">
      <c r="A51" s="2" t="n">
        <v>50</v>
      </c>
      <c r="B51" s="3" t="inlineStr">
        <is>
          <t>电阻</t>
        </is>
      </c>
      <c r="C51" s="3" t="inlineStr">
        <is>
          <t>2.15kΩ</t>
        </is>
      </c>
      <c r="D51" s="3" t="inlineStr">
        <is>
          <t>R0805</t>
        </is>
      </c>
      <c r="E51" s="4" t="inlineStr">
        <is>
          <t>±1%</t>
        </is>
      </c>
      <c r="F51" s="2" t="n"/>
      <c r="G51" s="2" t="n"/>
      <c r="H51" s="2" t="n">
        <v>1</v>
      </c>
      <c r="I51" s="2">
        <f>SUM(F51:H51)</f>
        <v/>
      </c>
      <c r="J51" s="2">
        <f>ROUNDUP(I51*1.2,0)</f>
        <v/>
      </c>
      <c r="K51" s="4" t="n"/>
      <c r="L51" s="4" t="n"/>
      <c r="M51" s="4" t="inlineStr">
        <is>
          <t>R10</t>
        </is>
      </c>
      <c r="N51" s="2" t="n"/>
      <c r="O51" s="4" t="inlineStr">
        <is>
          <t>AMC23C12 的 OC 门限电阻 → 10.3 Arms = 额定 1.46×</t>
        </is>
      </c>
    </row>
    <row r="52">
      <c r="A52" s="2" t="n">
        <v>51</v>
      </c>
      <c r="B52" s="3" t="inlineStr">
        <is>
          <t>电阻</t>
        </is>
      </c>
      <c r="C52" s="3" t="inlineStr">
        <is>
          <t>2.2kΩ</t>
        </is>
      </c>
      <c r="D52" s="3" t="inlineStr">
        <is>
          <t>R0805</t>
        </is>
      </c>
      <c r="E52" s="4" t="inlineStr">
        <is>
          <t>±1% 厚膜</t>
        </is>
      </c>
      <c r="F52" s="2" t="n">
        <v>1</v>
      </c>
      <c r="G52" s="2" t="n"/>
      <c r="H52" s="2" t="n"/>
      <c r="I52" s="2">
        <f>SUM(F52:H52)</f>
        <v/>
      </c>
      <c r="J52" s="2">
        <f>ROUNDUP(I52*1.2,0)</f>
        <v/>
      </c>
      <c r="K52" s="4" t="inlineStr">
        <is>
          <t>R20</t>
        </is>
      </c>
      <c r="L52" s="4" t="n"/>
      <c r="M52" s="4" t="n"/>
      <c r="N52" s="2" t="n"/>
      <c r="O52" s="4" t="inlineStr"/>
    </row>
    <row r="53">
      <c r="A53" s="2" t="n">
        <v>52</v>
      </c>
      <c r="B53" s="3" t="inlineStr">
        <is>
          <t>电阻</t>
        </is>
      </c>
      <c r="C53" s="3" t="inlineStr">
        <is>
          <t>2.49kΩ</t>
        </is>
      </c>
      <c r="D53" s="3" t="inlineStr">
        <is>
          <t>R0805</t>
        </is>
      </c>
      <c r="E53" s="4" t="inlineStr">
        <is>
          <t>±1%</t>
        </is>
      </c>
      <c r="F53" s="2" t="n"/>
      <c r="G53" s="2" t="n"/>
      <c r="H53" s="2" t="n">
        <v>1</v>
      </c>
      <c r="I53" s="2">
        <f>SUM(F53:H53)</f>
        <v/>
      </c>
      <c r="J53" s="2">
        <f>ROUNDUP(I53*1.2,0)</f>
        <v/>
      </c>
      <c r="K53" s="4" t="n"/>
      <c r="L53" s="4" t="n"/>
      <c r="M53" s="4" t="inlineStr">
        <is>
          <t>R11</t>
        </is>
      </c>
      <c r="N53" s="2" t="n"/>
      <c r="O53" s="4" t="inlineStr">
        <is>
          <t>AMC23C12 的 OV 门限电阻 → 288 Vrms = 额定 1.29×</t>
        </is>
      </c>
    </row>
    <row r="54">
      <c r="A54" s="2" t="n">
        <v>53</v>
      </c>
      <c r="B54" s="3" t="inlineStr">
        <is>
          <t>电阻</t>
        </is>
      </c>
      <c r="C54" s="3" t="inlineStr">
        <is>
          <t>220kΩ</t>
        </is>
      </c>
      <c r="D54" s="3" t="inlineStr">
        <is>
          <t>R0805</t>
        </is>
      </c>
      <c r="E54" s="4" t="inlineStr">
        <is>
          <t>±1% 厚膜</t>
        </is>
      </c>
      <c r="F54" s="2" t="n">
        <v>1</v>
      </c>
      <c r="G54" s="2" t="n"/>
      <c r="H54" s="2" t="n"/>
      <c r="I54" s="2">
        <f>SUM(F54:H54)</f>
        <v/>
      </c>
      <c r="J54" s="2">
        <f>ROUNDUP(I54*1.2,0)</f>
        <v/>
      </c>
      <c r="K54" s="4" t="inlineStr">
        <is>
          <t>R26</t>
        </is>
      </c>
      <c r="L54" s="4" t="n"/>
      <c r="M54" s="4" t="n"/>
      <c r="N54" s="2" t="n"/>
      <c r="O54" s="4" t="inlineStr"/>
    </row>
    <row r="55">
      <c r="A55" s="2" t="n">
        <v>54</v>
      </c>
      <c r="B55" s="3" t="inlineStr">
        <is>
          <t>电阻</t>
        </is>
      </c>
      <c r="C55" s="3" t="inlineStr">
        <is>
          <t>22kΩ</t>
        </is>
      </c>
      <c r="D55" s="3" t="inlineStr">
        <is>
          <t>R0805</t>
        </is>
      </c>
      <c r="E55" s="4" t="inlineStr">
        <is>
          <t>±1% 厚膜</t>
        </is>
      </c>
      <c r="F55" s="2" t="n">
        <v>1</v>
      </c>
      <c r="G55" s="2" t="n"/>
      <c r="H55" s="2" t="n"/>
      <c r="I55" s="2">
        <f>SUM(F55:H55)</f>
        <v/>
      </c>
      <c r="J55" s="2">
        <f>ROUNDUP(I55*1.2,0)</f>
        <v/>
      </c>
      <c r="K55" s="4" t="inlineStr">
        <is>
          <t>R27</t>
        </is>
      </c>
      <c r="L55" s="4" t="n"/>
      <c r="M55" s="4" t="n"/>
      <c r="N55" s="2" t="n"/>
      <c r="O55" s="4" t="inlineStr"/>
    </row>
    <row r="56">
      <c r="A56" s="2" t="n">
        <v>55</v>
      </c>
      <c r="B56" s="3" t="inlineStr">
        <is>
          <t>电阻</t>
        </is>
      </c>
      <c r="C56" s="3" t="inlineStr">
        <is>
          <t>806Ω</t>
        </is>
      </c>
      <c r="D56" s="3" t="inlineStr">
        <is>
          <t>R0805</t>
        </is>
      </c>
      <c r="E56" s="5" t="inlineStr">
        <is>
          <t>🔴 ±0.1% 薄膜 ≤25ppm/°C</t>
        </is>
      </c>
      <c r="F56" s="2" t="n"/>
      <c r="G56" s="2" t="n"/>
      <c r="H56" s="2" t="n">
        <v>1</v>
      </c>
      <c r="I56" s="2">
        <f>SUM(F56:H56)</f>
        <v/>
      </c>
      <c r="J56" s="2">
        <f>ROUNDUP(I56*1.2,0)</f>
        <v/>
      </c>
      <c r="K56" s="4" t="n"/>
      <c r="L56" s="4" t="n"/>
      <c r="M56" s="4" t="inlineStr">
        <is>
          <t>R19</t>
        </is>
      </c>
      <c r="N56" s="2" t="n"/>
      <c r="O56" s="5" t="inlineStr">
        <is>
          <t>🔴 同上，分压链下臂</t>
        </is>
      </c>
    </row>
    <row r="57">
      <c r="A57" s="6" t="n">
        <v>56</v>
      </c>
      <c r="B57" s="7" t="inlineStr">
        <is>
          <t>电容</t>
        </is>
      </c>
      <c r="C57" s="7" t="inlineStr">
        <is>
          <t>100nF</t>
        </is>
      </c>
      <c r="D57" s="7" t="inlineStr">
        <is>
          <t>C0603</t>
        </is>
      </c>
      <c r="E57" s="8" t="inlineStr">
        <is>
          <t>X7R ±10% ≥50V</t>
        </is>
      </c>
      <c r="F57" s="6" t="n">
        <v>31</v>
      </c>
      <c r="G57" s="6" t="n">
        <v>2</v>
      </c>
      <c r="H57" s="6" t="n">
        <v>12</v>
      </c>
      <c r="I57" s="6">
        <f>SUM(F57:H57)</f>
        <v/>
      </c>
      <c r="J57" s="6">
        <f>ROUNDUP(I57*1.2,0)</f>
        <v/>
      </c>
      <c r="K57" s="8" t="inlineStr">
        <is>
          <t>C15,C16,C17,C18,C19,C23,C25,C26,C27,C30,C31,C32,C39,C40,C41,C42,C43,C45,C46,C47,C48,C49,C50,C53,C55,C67,C69,C70,C71,C73,C74</t>
        </is>
      </c>
      <c r="L57" s="8" t="inlineStr">
        <is>
          <t>C2,C3</t>
        </is>
      </c>
      <c r="M57" s="8" t="inlineStr">
        <is>
          <t>C1,C4,C7,C9,C13,C14,C17,C19,C23,C24,C27,C29</t>
        </is>
      </c>
      <c r="N57" s="6" t="inlineStr">
        <is>
          <t>★</t>
        </is>
      </c>
      <c r="O57" s="9" t="inlineStr">
        <is>
          <t>🔴 0603 做不出 100 nF 的 C0G，只能 X7R（含 NTC 滤波 C69~C71）</t>
        </is>
      </c>
    </row>
    <row r="58">
      <c r="A58" s="6" t="n">
        <v>57</v>
      </c>
      <c r="B58" s="7" t="inlineStr">
        <is>
          <t>电容</t>
        </is>
      </c>
      <c r="C58" s="7" t="inlineStr">
        <is>
          <t>1nF</t>
        </is>
      </c>
      <c r="D58" s="7" t="inlineStr">
        <is>
          <t>C0603</t>
        </is>
      </c>
      <c r="E58" s="8" t="inlineStr">
        <is>
          <t>C0G(NP0) ±5% ≥50V</t>
        </is>
      </c>
      <c r="F58" s="6" t="n">
        <v>6</v>
      </c>
      <c r="G58" s="6" t="n"/>
      <c r="H58" s="6" t="n">
        <v>7</v>
      </c>
      <c r="I58" s="6">
        <f>SUM(F58:H58)</f>
        <v/>
      </c>
      <c r="J58" s="6">
        <f>ROUNDUP(I58*1.2,0)</f>
        <v/>
      </c>
      <c r="K58" s="8" t="inlineStr">
        <is>
          <t>C58,C59,C60,C61,C75,C76</t>
        </is>
      </c>
      <c r="L58" s="8" t="n"/>
      <c r="M58" s="8" t="inlineStr">
        <is>
          <t>C3,C18,C20,C22,C26,C28,C31</t>
        </is>
      </c>
      <c r="N58" s="6" t="inlineStr">
        <is>
          <t>★</t>
        </is>
      </c>
      <c r="O58" s="8" t="inlineStr">
        <is>
          <t>合并取严：C58~C61 是抗混叠共模；C75/C76、SNS 去耦无所谓，统一 C0G 省一个料号</t>
        </is>
      </c>
    </row>
    <row r="59">
      <c r="A59" s="2" t="n">
        <v>58</v>
      </c>
      <c r="B59" s="3" t="inlineStr">
        <is>
          <t>电容</t>
        </is>
      </c>
      <c r="C59" s="3" t="inlineStr">
        <is>
          <t>100nF</t>
        </is>
      </c>
      <c r="D59" s="3" t="inlineStr">
        <is>
          <t>C0805</t>
        </is>
      </c>
      <c r="E59" s="4" t="inlineStr">
        <is>
          <t>X7R ±10% ≥50V</t>
        </is>
      </c>
      <c r="F59" s="2" t="n">
        <v>9</v>
      </c>
      <c r="G59" s="2" t="n"/>
      <c r="H59" s="2" t="n"/>
      <c r="I59" s="2">
        <f>SUM(F59:H59)</f>
        <v/>
      </c>
      <c r="J59" s="2">
        <f>ROUNDUP(I59*1.2,0)</f>
        <v/>
      </c>
      <c r="K59" s="4" t="inlineStr">
        <is>
          <t>C2,C3,C7,C8,C11,C12,C13,C14,C68</t>
        </is>
      </c>
      <c r="L59" s="4" t="n"/>
      <c r="M59" s="4" t="n"/>
      <c r="N59" s="2" t="n"/>
      <c r="O59" s="4" t="inlineStr"/>
    </row>
    <row r="60">
      <c r="A60" s="2" t="n">
        <v>59</v>
      </c>
      <c r="B60" s="3" t="inlineStr">
        <is>
          <t>电容</t>
        </is>
      </c>
      <c r="C60" s="3" t="inlineStr">
        <is>
          <t>1uF</t>
        </is>
      </c>
      <c r="D60" s="3" t="inlineStr">
        <is>
          <t>C0603</t>
        </is>
      </c>
      <c r="E60" s="4" t="inlineStr">
        <is>
          <t>X7R ±10% ≥25V</t>
        </is>
      </c>
      <c r="F60" s="2" t="n"/>
      <c r="G60" s="2" t="n"/>
      <c r="H60" s="2" t="n">
        <v>8</v>
      </c>
      <c r="I60" s="2">
        <f>SUM(F60:H60)</f>
        <v/>
      </c>
      <c r="J60" s="2">
        <f>ROUNDUP(I60*1.2,0)</f>
        <v/>
      </c>
      <c r="K60" s="4" t="n"/>
      <c r="L60" s="4" t="n"/>
      <c r="M60" s="4" t="inlineStr">
        <is>
          <t>C2,C5,C8,C10,C16,C21,C25,C30</t>
        </is>
      </c>
      <c r="N60" s="2" t="n"/>
      <c r="O60" s="4" t="inlineStr">
        <is>
          <t>SNS-01 隔离器件去耦（手册要 100nF∥1µF）</t>
        </is>
      </c>
    </row>
    <row r="61">
      <c r="A61" s="2" t="n">
        <v>60</v>
      </c>
      <c r="B61" s="3" t="inlineStr">
        <is>
          <t>电容</t>
        </is>
      </c>
      <c r="C61" s="3" t="inlineStr">
        <is>
          <t>10nF</t>
        </is>
      </c>
      <c r="D61" s="3" t="inlineStr">
        <is>
          <t>C0603</t>
        </is>
      </c>
      <c r="E61" s="4" t="inlineStr">
        <is>
          <t>C0G(NP0) ±5% ≥50V</t>
        </is>
      </c>
      <c r="F61" s="2" t="n">
        <v>7</v>
      </c>
      <c r="G61" s="2" t="n"/>
      <c r="H61" s="2" t="n"/>
      <c r="I61" s="2">
        <f>SUM(F61:H61)</f>
        <v/>
      </c>
      <c r="J61" s="2">
        <f>ROUNDUP(I61*1.2,0)</f>
        <v/>
      </c>
      <c r="K61" s="4" t="inlineStr">
        <is>
          <t>C5,C10,C44,C51,C52,C56,C57</t>
        </is>
      </c>
      <c r="L61" s="4" t="n"/>
      <c r="M61" s="4" t="n"/>
      <c r="N61" s="2" t="n"/>
      <c r="O61" s="5" t="inlineStr">
        <is>
          <t>🔴 合并取严：C56/C57 是抗混叠差模，必须 C0G；编码器消抖那几只跟着一起，成本差不多</t>
        </is>
      </c>
    </row>
    <row r="62">
      <c r="A62" s="2" t="n">
        <v>61</v>
      </c>
      <c r="B62" s="3" t="inlineStr">
        <is>
          <t>电容</t>
        </is>
      </c>
      <c r="C62" s="3" t="inlineStr">
        <is>
          <t>1uF</t>
        </is>
      </c>
      <c r="D62" s="3" t="inlineStr">
        <is>
          <t>C0805</t>
        </is>
      </c>
      <c r="E62" s="4" t="inlineStr">
        <is>
          <t>X7R ±10% ≥25V</t>
        </is>
      </c>
      <c r="F62" s="2" t="n">
        <v>7</v>
      </c>
      <c r="G62" s="2" t="n"/>
      <c r="H62" s="2" t="n"/>
      <c r="I62" s="2">
        <f>SUM(F62:H62)</f>
        <v/>
      </c>
      <c r="J62" s="2">
        <f>ROUNDUP(I62*1.2,0)</f>
        <v/>
      </c>
      <c r="K62" s="4" t="inlineStr">
        <is>
          <t>C20,C24,C35,C36,C37,C38,C66</t>
        </is>
      </c>
      <c r="L62" s="4" t="n"/>
      <c r="M62" s="4" t="n"/>
      <c r="N62" s="2" t="n"/>
      <c r="O62" s="5" t="inlineStr">
        <is>
          <t>🔴 含 C20/C24（VDDA/VREF+）—— ADR-010 要 ESR ≤2 Ω，MLCC 天然满足</t>
        </is>
      </c>
    </row>
    <row r="63">
      <c r="A63" s="6" t="n">
        <v>62</v>
      </c>
      <c r="B63" s="7" t="inlineStr">
        <is>
          <t>电容</t>
        </is>
      </c>
      <c r="C63" s="7" t="inlineStr">
        <is>
          <t>10uF</t>
        </is>
      </c>
      <c r="D63" s="7" t="inlineStr">
        <is>
          <t>C0805</t>
        </is>
      </c>
      <c r="E63" s="8" t="inlineStr">
        <is>
          <t>X7R ±10% ≥25V</t>
        </is>
      </c>
      <c r="F63" s="6" t="n">
        <v>2</v>
      </c>
      <c r="G63" s="6" t="n"/>
      <c r="H63" s="6" t="n">
        <v>2</v>
      </c>
      <c r="I63" s="6">
        <f>SUM(F63:H63)</f>
        <v/>
      </c>
      <c r="J63" s="6">
        <f>ROUNDUP(I63*1.2,0)</f>
        <v/>
      </c>
      <c r="K63" s="8" t="inlineStr">
        <is>
          <t>C54,C72</t>
        </is>
      </c>
      <c r="L63" s="8" t="n"/>
      <c r="M63" s="8" t="inlineStr">
        <is>
          <t>C11,C12</t>
        </is>
      </c>
      <c r="N63" s="6" t="inlineStr">
        <is>
          <t>★</t>
        </is>
      </c>
      <c r="O63" s="9" t="inlineStr">
        <is>
          <t>🔴 含 C54（贴 CN4.9，让 AMC 开关纹波就地闭环）</t>
        </is>
      </c>
    </row>
    <row r="64">
      <c r="A64" s="2" t="n">
        <v>63</v>
      </c>
      <c r="B64" s="3" t="inlineStr">
        <is>
          <t>电容</t>
        </is>
      </c>
      <c r="C64" s="3" t="inlineStr">
        <is>
          <t>4.7uF</t>
        </is>
      </c>
      <c r="D64" s="3" t="inlineStr">
        <is>
          <t>C0805</t>
        </is>
      </c>
      <c r="E64" s="4" t="inlineStr">
        <is>
          <t>X7R ±10% ≥25V</t>
        </is>
      </c>
      <c r="F64" s="2" t="n">
        <v>4</v>
      </c>
      <c r="G64" s="2" t="n"/>
      <c r="H64" s="2" t="n"/>
      <c r="I64" s="2">
        <f>SUM(F64:H64)</f>
        <v/>
      </c>
      <c r="J64" s="2">
        <f>ROUNDUP(I64*1.2,0)</f>
        <v/>
      </c>
      <c r="K64" s="4" t="inlineStr">
        <is>
          <t>C1,C4,C6,C9</t>
        </is>
      </c>
      <c r="L64" s="4" t="n"/>
      <c r="M64" s="4" t="n"/>
      <c r="N64" s="2" t="n"/>
      <c r="O64" s="4" t="inlineStr"/>
    </row>
    <row r="65">
      <c r="A65" s="2" t="n">
        <v>64</v>
      </c>
      <c r="B65" s="3" t="inlineStr">
        <is>
          <t>电容</t>
        </is>
      </c>
      <c r="C65" s="3" t="inlineStr">
        <is>
          <t>2.2nF</t>
        </is>
      </c>
      <c r="D65" s="3" t="inlineStr">
        <is>
          <t>C0603</t>
        </is>
      </c>
      <c r="E65" s="4" t="inlineStr">
        <is>
          <t>C0G(NP0) ±5% ≥50V</t>
        </is>
      </c>
      <c r="F65" s="2" t="n">
        <v>3</v>
      </c>
      <c r="G65" s="2" t="n"/>
      <c r="H65" s="2" t="n"/>
      <c r="I65" s="2">
        <f>SUM(F65:H65)</f>
        <v/>
      </c>
      <c r="J65" s="2">
        <f>ROUNDUP(I65*1.2,0)</f>
        <v/>
      </c>
      <c r="K65" s="4" t="inlineStr">
        <is>
          <t>C62,C63,C64</t>
        </is>
      </c>
      <c r="L65" s="4" t="n"/>
      <c r="M65" s="4" t="n"/>
      <c r="N65" s="2" t="n"/>
      <c r="O65" s="5" t="inlineStr">
        <is>
          <t>🔴 必须 C0G —— Sallen-Key 重构滤波的 f_c 和 Q 就靠它</t>
        </is>
      </c>
    </row>
    <row r="66">
      <c r="A66" s="6" t="n">
        <v>65</v>
      </c>
      <c r="B66" s="7" t="inlineStr">
        <is>
          <t>电容</t>
        </is>
      </c>
      <c r="C66" s="7" t="inlineStr">
        <is>
          <t>100uF</t>
        </is>
      </c>
      <c r="D66" s="7" t="inlineStr">
        <is>
          <t>CAP-SMD_BD6.3-L6.6-W6.6-LS7.2-FD-1</t>
        </is>
      </c>
      <c r="E66" s="8" t="inlineStr">
        <is>
          <t>铝电解 ≥25V ≥105°C</t>
        </is>
      </c>
      <c r="F66" s="6" t="n">
        <v>1</v>
      </c>
      <c r="G66" s="6" t="n">
        <v>1</v>
      </c>
      <c r="H66" s="6" t="n"/>
      <c r="I66" s="6">
        <f>SUM(F66:H66)</f>
        <v/>
      </c>
      <c r="J66" s="6">
        <f>ROUNDUP(I66*1.2,0)</f>
        <v/>
      </c>
      <c r="K66" s="8" t="inlineStr">
        <is>
          <t>U28</t>
        </is>
      </c>
      <c r="L66" s="8" t="inlineStr">
        <is>
          <t>C1</t>
        </is>
      </c>
      <c r="M66" s="8" t="n"/>
      <c r="N66" s="6" t="inlineStr">
        <is>
          <t>★</t>
        </is>
      </c>
      <c r="O66" s="8" t="inlineStr">
        <is>
          <t>★ 和 RLY-01 的 C1 合并成同一个料号（封装只差 LS 标注，实物一样）</t>
        </is>
      </c>
    </row>
    <row r="67">
      <c r="A67" s="2" t="n">
        <v>66</v>
      </c>
      <c r="B67" s="3" t="inlineStr">
        <is>
          <t>电容</t>
        </is>
      </c>
      <c r="C67" s="3" t="inlineStr">
        <is>
          <t>12pF</t>
        </is>
      </c>
      <c r="D67" s="3" t="inlineStr">
        <is>
          <t>C0603</t>
        </is>
      </c>
      <c r="E67" s="4" t="inlineStr">
        <is>
          <t>C0G(NP0) ±5% ≥50V</t>
        </is>
      </c>
      <c r="F67" s="2" t="n">
        <v>2</v>
      </c>
      <c r="G67" s="2" t="n"/>
      <c r="H67" s="2" t="n"/>
      <c r="I67" s="2">
        <f>SUM(F67:H67)</f>
        <v/>
      </c>
      <c r="J67" s="2">
        <f>ROUNDUP(I67*1.2,0)</f>
        <v/>
      </c>
      <c r="K67" s="4" t="inlineStr">
        <is>
          <t>C21,C22</t>
        </is>
      </c>
      <c r="L67" s="4" t="n"/>
      <c r="M67" s="4" t="n"/>
      <c r="N67" s="2" t="n"/>
      <c r="O67" s="4" t="inlineStr">
        <is>
          <t>8 MHz 晶振负载电容</t>
        </is>
      </c>
    </row>
    <row r="68">
      <c r="A68" s="2" t="n">
        <v>67</v>
      </c>
      <c r="B68" s="3" t="inlineStr">
        <is>
          <t>电容</t>
        </is>
      </c>
      <c r="C68" s="3" t="inlineStr">
        <is>
          <t>18pF</t>
        </is>
      </c>
      <c r="D68" s="3" t="inlineStr">
        <is>
          <t>C0603</t>
        </is>
      </c>
      <c r="E68" s="4" t="inlineStr">
        <is>
          <t>C0G(NP0) ±5% ≥50V</t>
        </is>
      </c>
      <c r="F68" s="2" t="n">
        <v>2</v>
      </c>
      <c r="G68" s="2" t="n"/>
      <c r="H68" s="2" t="n"/>
      <c r="I68" s="2">
        <f>SUM(F68:H68)</f>
        <v/>
      </c>
      <c r="J68" s="2">
        <f>ROUNDUP(I68*1.2,0)</f>
        <v/>
      </c>
      <c r="K68" s="4" t="inlineStr">
        <is>
          <t>C28,C29</t>
        </is>
      </c>
      <c r="L68" s="4" t="n"/>
      <c r="M68" s="4" t="n"/>
      <c r="N68" s="2" t="n"/>
      <c r="O68" s="4" t="inlineStr">
        <is>
          <t>32.768 kHz 负载电容；🟡 标称 CL 仍待核实（待决 #16）</t>
        </is>
      </c>
    </row>
    <row r="69">
      <c r="A69" s="2" t="n">
        <v>68</v>
      </c>
      <c r="B69" s="3" t="inlineStr">
        <is>
          <t>电容</t>
        </is>
      </c>
      <c r="C69" s="3" t="inlineStr">
        <is>
          <t>1000uF</t>
        </is>
      </c>
      <c r="D69" s="3" t="inlineStr">
        <is>
          <t>CAP-TH_BD13.0-P5.00-D0.6-FD</t>
        </is>
      </c>
      <c r="E69" s="5" t="inlineStr">
        <is>
          <t>铝电解 🔴≥63V ≥105°C</t>
        </is>
      </c>
      <c r="F69" s="2" t="n">
        <v>1</v>
      </c>
      <c r="G69" s="2" t="n"/>
      <c r="H69" s="2" t="n"/>
      <c r="I69" s="2">
        <f>SUM(F69:H69)</f>
        <v/>
      </c>
      <c r="J69" s="2">
        <f>ROUNDUP(I69*1.2,0)</f>
        <v/>
      </c>
      <c r="K69" s="4" t="inlineStr">
        <is>
          <t>C34</t>
        </is>
      </c>
      <c r="L69" s="4" t="n"/>
      <c r="M69" s="4" t="n"/>
      <c r="N69" s="2" t="n"/>
      <c r="O69" s="5" t="inlineStr">
        <is>
          <t>🔴 母线最坏 56 V（DRS OVP）→ 必须 63 V；🔴 φ13×25 mm 高，先量机箱内高</t>
        </is>
      </c>
    </row>
    <row r="70">
      <c r="A70" s="2" t="n">
        <v>69</v>
      </c>
      <c r="B70" s="3" t="inlineStr">
        <is>
          <t>电容</t>
        </is>
      </c>
      <c r="C70" s="3" t="inlineStr">
        <is>
          <t>100pF</t>
        </is>
      </c>
      <c r="D70" s="3" t="inlineStr">
        <is>
          <t>C0603</t>
        </is>
      </c>
      <c r="E70" s="4" t="inlineStr">
        <is>
          <t>C0G(NP0) ±5% ≥50V</t>
        </is>
      </c>
      <c r="F70" s="2" t="n"/>
      <c r="G70" s="2" t="n"/>
      <c r="H70" s="2" t="n">
        <v>1</v>
      </c>
      <c r="I70" s="2">
        <f>SUM(F70:H70)</f>
        <v/>
      </c>
      <c r="J70" s="2">
        <f>ROUNDUP(I70*1.2,0)</f>
        <v/>
      </c>
      <c r="K70" s="4" t="n"/>
      <c r="L70" s="4" t="n"/>
      <c r="M70" s="4" t="inlineStr">
        <is>
          <t>C6</t>
        </is>
      </c>
      <c r="N70" s="2" t="n"/>
      <c r="O70" s="5" t="inlineStr">
        <is>
          <t>🔴 OV 比较器输入，1 nF 会让门限漂 6%，只能 100 pF 且 C0G</t>
        </is>
      </c>
    </row>
    <row r="71">
      <c r="A71" s="2" t="n">
        <v>70</v>
      </c>
      <c r="B71" s="3" t="inlineStr">
        <is>
          <t>电容</t>
        </is>
      </c>
      <c r="C71" s="3" t="inlineStr">
        <is>
          <t>10nF</t>
        </is>
      </c>
      <c r="D71" s="3" t="inlineStr">
        <is>
          <t>C0805</t>
        </is>
      </c>
      <c r="E71" s="4" t="inlineStr">
        <is>
          <t>C0G(NP0) ±5% ≥50V</t>
        </is>
      </c>
      <c r="F71" s="2" t="n"/>
      <c r="G71" s="2" t="n"/>
      <c r="H71" s="2" t="n">
        <v>1</v>
      </c>
      <c r="I71" s="2">
        <f>SUM(F71:H71)</f>
        <v/>
      </c>
      <c r="J71" s="2">
        <f>ROUNDUP(I71*1.2,0)</f>
        <v/>
      </c>
      <c r="K71" s="4" t="n"/>
      <c r="L71" s="4" t="n"/>
      <c r="M71" s="4" t="inlineStr">
        <is>
          <t>C15</t>
        </is>
      </c>
      <c r="N71" s="2" t="n"/>
      <c r="O71" s="5" t="inlineStr">
        <is>
          <t>🔴 SNS-01 C15 = AMC3301 输入滤波，在电流通道信号链上 → 同样取 C0G</t>
        </is>
      </c>
    </row>
    <row r="72">
      <c r="A72" s="2" t="n">
        <v>71</v>
      </c>
      <c r="B72" s="3" t="inlineStr">
        <is>
          <t>电容</t>
        </is>
      </c>
      <c r="C72" s="3" t="inlineStr">
        <is>
          <t>2.2uF</t>
        </is>
      </c>
      <c r="D72" s="3" t="inlineStr">
        <is>
          <t>CAP-TH_L7.2-W6.0-P5.00-D0.6</t>
        </is>
      </c>
      <c r="E72" s="4" t="inlineStr">
        <is>
          <t>薄膜 ≥63V</t>
        </is>
      </c>
      <c r="F72" s="2" t="n">
        <v>1</v>
      </c>
      <c r="G72" s="2" t="n"/>
      <c r="H72" s="2" t="n"/>
      <c r="I72" s="2">
        <f>SUM(F72:H72)</f>
        <v/>
      </c>
      <c r="J72" s="2">
        <f>ROUNDUP(I72*1.2,0)</f>
        <v/>
      </c>
      <c r="K72" s="4" t="inlineStr">
        <is>
          <t>C65</t>
        </is>
      </c>
      <c r="L72" s="4" t="n"/>
      <c r="M72" s="4" t="n"/>
      <c r="N72" s="2" t="n"/>
      <c r="O72" s="4" t="inlineStr">
        <is>
          <t>DDS 输出串联隔直 —— MCU 掉电时输出归零全靠它</t>
        </is>
      </c>
    </row>
    <row r="73">
      <c r="A73" s="2" t="n">
        <v>72</v>
      </c>
      <c r="B73" s="3" t="inlineStr">
        <is>
          <t>电容</t>
        </is>
      </c>
      <c r="C73" s="3" t="inlineStr">
        <is>
          <t>220pF</t>
        </is>
      </c>
      <c r="D73" s="3" t="inlineStr">
        <is>
          <t>C0603</t>
        </is>
      </c>
      <c r="E73" s="4" t="inlineStr">
        <is>
          <t>C0G(NP0) ±5% ≥50V</t>
        </is>
      </c>
      <c r="F73" s="2" t="n"/>
      <c r="G73" s="2" t="n"/>
      <c r="H73" s="2" t="n">
        <v>1</v>
      </c>
      <c r="I73" s="2">
        <f>SUM(F73:H73)</f>
        <v/>
      </c>
      <c r="J73" s="2">
        <f>ROUNDUP(I73*1.2,0)</f>
        <v/>
      </c>
      <c r="K73" s="4" t="n"/>
      <c r="L73" s="4" t="n"/>
      <c r="M73" s="4" t="inlineStr">
        <is>
          <t>C32</t>
        </is>
      </c>
      <c r="N73" s="2" t="n"/>
      <c r="O73" s="5" t="inlineStr">
        <is>
          <t>🔴 测量分压链补偿电容，进电压读数</t>
        </is>
      </c>
    </row>
    <row r="74">
      <c r="A74" s="2" t="n">
        <v>73</v>
      </c>
      <c r="B74" s="3" t="inlineStr">
        <is>
          <t>电容</t>
        </is>
      </c>
      <c r="C74" s="3" t="inlineStr">
        <is>
          <t>3.3uF</t>
        </is>
      </c>
      <c r="D74" s="3" t="inlineStr">
        <is>
          <t>CAP-TH_L22.0-W5.5-P20.00-D0.6</t>
        </is>
      </c>
      <c r="E74" s="5" t="inlineStr">
        <is>
          <t>薄膜 🔴≥100V</t>
        </is>
      </c>
      <c r="F74" s="2" t="n">
        <v>1</v>
      </c>
      <c r="G74" s="2" t="n"/>
      <c r="H74" s="2" t="n"/>
      <c r="I74" s="2">
        <f>SUM(F74:H74)</f>
        <v/>
      </c>
      <c r="J74" s="2">
        <f>ROUNDUP(I74*1.2,0)</f>
        <v/>
      </c>
      <c r="K74" s="4" t="inlineStr">
        <is>
          <t>C33</t>
        </is>
      </c>
      <c r="L74" s="4" t="n"/>
      <c r="M74" s="4" t="n"/>
      <c r="N74" s="2" t="n"/>
      <c r="O74" s="5" t="inlineStr">
        <is>
          <t>🔴 Q1 的米勒电容，跨漏源承受整条母线；🟡 审图#30 建议从底面翻回顶层</t>
        </is>
      </c>
    </row>
    <row r="75">
      <c r="A75" s="6" t="n">
        <v>74</v>
      </c>
      <c r="B75" s="7" t="inlineStr">
        <is>
          <t>端子</t>
        </is>
      </c>
      <c r="C75" s="7" t="inlineStr">
        <is>
          <t>KF301-5.0-2P</t>
        </is>
      </c>
      <c r="D75" s="7" t="inlineStr">
        <is>
          <t>CONN-TH_P5.00_KF301-5.0-2P</t>
        </is>
      </c>
      <c r="E75" s="9" t="inlineStr">
        <is>
          <t>🔴 ≥17A / ≥250V</t>
        </is>
      </c>
      <c r="F75" s="6" t="n">
        <v>12</v>
      </c>
      <c r="G75" s="6" t="n">
        <v>6</v>
      </c>
      <c r="H75" s="6" t="n">
        <v>2</v>
      </c>
      <c r="I75" s="6">
        <f>SUM(F75:H75)</f>
        <v/>
      </c>
      <c r="J75" s="6">
        <f>ROUNDUP(I75*1.2,0)</f>
        <v/>
      </c>
      <c r="K75" s="8" t="inlineStr">
        <is>
          <t>U4,U7,U10,U11,U12,U14,U16,U18,U20,U23,U25,U26</t>
        </is>
      </c>
      <c r="L75" s="8" t="inlineStr">
        <is>
          <t>U2,U3,U4,U6,U7,U12</t>
        </is>
      </c>
      <c r="M75" s="8" t="inlineStr">
        <is>
          <t>U6,U30</t>
        </is>
      </c>
      <c r="N75" s="6" t="inlineStr">
        <is>
          <t>★</t>
        </is>
      </c>
      <c r="O75" s="9" t="inlineStr">
        <is>
          <t>★ 三块板合并 20 只。🟡 其中 SNS-01 U6/U30 和 RLY-01 U4 上是 223.6 Vrms（待决 #61）—— 建议不换 300V 档：工作电压 223.6&lt;250 已合规，OV 跳闸 288 Vrms 是 ms 级故障窗口，端子冲击耐受扛得住；🔴 但要现在定，换料号可能改脚位</t>
        </is>
      </c>
    </row>
    <row r="76">
      <c r="A76" s="2" t="n">
        <v>75</v>
      </c>
      <c r="B76" s="3" t="inlineStr">
        <is>
          <t>端子</t>
        </is>
      </c>
      <c r="C76" s="3" t="inlineStr">
        <is>
          <t>WJ128V-5.0-03P-14-00A</t>
        </is>
      </c>
      <c r="D76" s="3" t="inlineStr">
        <is>
          <t>CONN-TH_3P-P5.00_WJ128V-5.0-3P</t>
        </is>
      </c>
      <c r="E76" s="4" t="inlineStr">
        <is>
          <t>20A/250V</t>
        </is>
      </c>
      <c r="F76" s="2" t="n"/>
      <c r="G76" s="2" t="n">
        <v>1</v>
      </c>
      <c r="H76" s="2" t="n"/>
      <c r="I76" s="2">
        <f>SUM(F76:H76)</f>
        <v/>
      </c>
      <c r="J76" s="2">
        <f>ROUNDUP(I76*1.2,0)</f>
        <v/>
      </c>
      <c r="K76" s="4" t="n"/>
      <c r="L76" s="4" t="inlineStr">
        <is>
          <t>P1</t>
        </is>
      </c>
      <c r="M76" s="4" t="n"/>
      <c r="N76" s="2" t="n"/>
      <c r="O76" s="4" t="inlineStr">
        <is>
          <t>P1 = 12V / COIL_LOOP / DGND 去机箱互锁链</t>
        </is>
      </c>
    </row>
    <row r="77">
      <c r="A77" s="2" t="n">
        <v>76</v>
      </c>
      <c r="B77" s="3" t="inlineStr">
        <is>
          <t>端子</t>
        </is>
      </c>
      <c r="C77" s="3" t="inlineStr">
        <is>
          <t>WJ128V-5.0-04P-14-00A</t>
        </is>
      </c>
      <c r="D77" s="3" t="inlineStr">
        <is>
          <t>CONN-TH_4P-P5.00_WJ128V-4P-5.0-14-00A</t>
        </is>
      </c>
      <c r="E77" s="4" t="inlineStr">
        <is>
          <t>20A/250V</t>
        </is>
      </c>
      <c r="F77" s="2" t="n"/>
      <c r="G77" s="2" t="n">
        <v>1</v>
      </c>
      <c r="H77" s="2" t="n"/>
      <c r="I77" s="2">
        <f>SUM(F77:H77)</f>
        <v/>
      </c>
      <c r="J77" s="2">
        <f>ROUNDUP(I77*1.2,0)</f>
        <v/>
      </c>
      <c r="K77" s="4" t="n"/>
      <c r="L77" s="4" t="inlineStr">
        <is>
          <t>CN1</t>
        </is>
      </c>
      <c r="M77" s="4" t="n"/>
      <c r="N77" s="2" t="n"/>
      <c r="O77" s="5" t="inlineStr">
        <is>
          <t>🔴 CN1 上是 223.6 Vrms（TR_HIGH 次级）</t>
        </is>
      </c>
    </row>
    <row r="78">
      <c r="A78" s="2" t="n">
        <v>77</v>
      </c>
      <c r="B78" s="3" t="inlineStr">
        <is>
          <t>端子</t>
        </is>
      </c>
      <c r="C78" s="3" t="inlineStr">
        <is>
          <t>WJ128V-5.0-05P-14-00A</t>
        </is>
      </c>
      <c r="D78" s="3" t="inlineStr">
        <is>
          <t>CONN-TH_5P-P5.00_WJ128V-5P-5.0-14-00A</t>
        </is>
      </c>
      <c r="E78" s="4" t="inlineStr">
        <is>
          <t>20A/250V</t>
        </is>
      </c>
      <c r="F78" s="2" t="n"/>
      <c r="G78" s="2" t="n">
        <v>1</v>
      </c>
      <c r="H78" s="2" t="n"/>
      <c r="I78" s="2">
        <f>SUM(F78:H78)</f>
        <v/>
      </c>
      <c r="J78" s="2">
        <f>ROUNDUP(I78*1.2,0)</f>
        <v/>
      </c>
      <c r="K78" s="4" t="n"/>
      <c r="L78" s="4" t="inlineStr">
        <is>
          <t>CN2</t>
        </is>
      </c>
      <c r="M78" s="4" t="n"/>
      <c r="N78" s="2" t="n"/>
      <c r="O78" s="5" t="inlineStr">
        <is>
          <t>🔴 CN2 上是 7.07 A（TR_LOW 次级），余量 2.83×</t>
        </is>
      </c>
    </row>
    <row r="79">
      <c r="A79" s="2" t="n">
        <v>78</v>
      </c>
      <c r="B79" s="3" t="inlineStr">
        <is>
          <t>连接器</t>
        </is>
      </c>
      <c r="C79" s="3" t="inlineStr">
        <is>
          <t>LAIL-PHC2.54-2P-01-XH-L</t>
        </is>
      </c>
      <c r="D79" s="3" t="inlineStr">
        <is>
          <t>CONN-TH_2P-P2.50_HC-XH-2A-G</t>
        </is>
      </c>
      <c r="E79" s="4" t="inlineStr">
        <is>
          <t>XH2.54 2P</t>
        </is>
      </c>
      <c r="F79" s="2" t="n">
        <v>3</v>
      </c>
      <c r="G79" s="2" t="n"/>
      <c r="H79" s="2" t="n"/>
      <c r="I79" s="2">
        <f>SUM(F79:H79)</f>
        <v/>
      </c>
      <c r="J79" s="2">
        <f>ROUNDUP(I79*1.2,0)</f>
        <v/>
      </c>
      <c r="K79" s="4" t="inlineStr">
        <is>
          <t>CN6,CN7,CN8</t>
        </is>
      </c>
      <c r="L79" s="4" t="n"/>
      <c r="M79" s="4" t="n"/>
      <c r="N79" s="2" t="n"/>
      <c r="O79" s="4" t="inlineStr">
        <is>
          <t>3 路 NTC 探头（CN6/7/8）</t>
        </is>
      </c>
    </row>
    <row r="80">
      <c r="A80" s="6" t="n">
        <v>79</v>
      </c>
      <c r="B80" s="7" t="inlineStr">
        <is>
          <t>连接器</t>
        </is>
      </c>
      <c r="C80" s="7" t="inlineStr">
        <is>
          <t>8821WV-09KP</t>
        </is>
      </c>
      <c r="D80" s="7" t="inlineStr">
        <is>
          <t>CONN-TH_9P-P2.50_ZX-XH2.54-9PZZ</t>
        </is>
      </c>
      <c r="E80" s="8" t="inlineStr">
        <is>
          <t>XH2.54 9P</t>
        </is>
      </c>
      <c r="F80" s="6" t="n">
        <v>1</v>
      </c>
      <c r="G80" s="6" t="n"/>
      <c r="H80" s="6" t="n">
        <v>1</v>
      </c>
      <c r="I80" s="6">
        <f>SUM(F80:H80)</f>
        <v/>
      </c>
      <c r="J80" s="6">
        <f>ROUNDUP(I80*1.2,0)</f>
        <v/>
      </c>
      <c r="K80" s="8" t="inlineStr">
        <is>
          <t>CN4</t>
        </is>
      </c>
      <c r="L80" s="8" t="n"/>
      <c r="M80" s="8" t="inlineStr">
        <is>
          <t>CN4</t>
        </is>
      </c>
      <c r="N80" s="6" t="inlineStr">
        <is>
          <t>★</t>
        </is>
      </c>
      <c r="O80" s="8" t="inlineStr">
        <is>
          <t>★ 跨板合并：MAIN-01↔SNS-01 模拟口（两对差分输出）</t>
        </is>
      </c>
    </row>
    <row r="81">
      <c r="A81" s="6" t="n">
        <v>80</v>
      </c>
      <c r="B81" s="7" t="inlineStr">
        <is>
          <t>连接器</t>
        </is>
      </c>
      <c r="C81" s="7" t="inlineStr">
        <is>
          <t>DS1013-01-10SSiB-B</t>
        </is>
      </c>
      <c r="D81" s="7" t="inlineStr">
        <is>
          <t>IDC-TH_10P-P2.54_DS1013-01-10SSIB-B</t>
        </is>
      </c>
      <c r="E81" s="8" t="inlineStr">
        <is>
          <t>IDC 10P 2.54</t>
        </is>
      </c>
      <c r="F81" s="6" t="n">
        <v>1</v>
      </c>
      <c r="G81" s="6" t="n">
        <v>1</v>
      </c>
      <c r="H81" s="6" t="n"/>
      <c r="I81" s="6">
        <f>SUM(F81:H81)</f>
        <v/>
      </c>
      <c r="J81" s="6">
        <f>ROUNDUP(I81*1.2,0)</f>
        <v/>
      </c>
      <c r="K81" s="8" t="inlineStr">
        <is>
          <t>CN3</t>
        </is>
      </c>
      <c r="L81" s="8" t="inlineStr">
        <is>
          <t>CN3</t>
        </is>
      </c>
      <c r="M81" s="8" t="n"/>
      <c r="N81" s="6" t="inlineStr">
        <is>
          <t>★</t>
        </is>
      </c>
      <c r="O81" s="8" t="inlineStr">
        <is>
          <t>★ 跨板合并：MAIN-01↔RLY-01 板间 8 路逻辑</t>
        </is>
      </c>
    </row>
    <row r="82">
      <c r="A82" s="6" t="n">
        <v>81</v>
      </c>
      <c r="B82" s="7" t="inlineStr">
        <is>
          <t>连接器</t>
        </is>
      </c>
      <c r="C82" s="7" t="inlineStr">
        <is>
          <t>LAIL-PHC2.54-8P-01-XH-L</t>
        </is>
      </c>
      <c r="D82" s="7" t="inlineStr">
        <is>
          <t>CONN-TH_8P-P2.50-XH2.54-8P</t>
        </is>
      </c>
      <c r="E82" s="8" t="inlineStr">
        <is>
          <t>XH2.54 8P</t>
        </is>
      </c>
      <c r="F82" s="6" t="n">
        <v>1</v>
      </c>
      <c r="G82" s="6" t="n"/>
      <c r="H82" s="6" t="n">
        <v>1</v>
      </c>
      <c r="I82" s="6">
        <f>SUM(F82:H82)</f>
        <v/>
      </c>
      <c r="J82" s="6">
        <f>ROUNDUP(I82*1.2,0)</f>
        <v/>
      </c>
      <c r="K82" s="8" t="inlineStr">
        <is>
          <t>CN9</t>
        </is>
      </c>
      <c r="L82" s="8" t="n"/>
      <c r="M82" s="8" t="inlineStr">
        <is>
          <t>CN9</t>
        </is>
      </c>
      <c r="N82" s="6" t="inlineStr">
        <is>
          <t>★</t>
        </is>
      </c>
      <c r="O82" s="8" t="inlineStr">
        <is>
          <t>★ 跨板合并：MAIN-01↔SNS-01 数字口（CN9）</t>
        </is>
      </c>
    </row>
    <row r="83">
      <c r="A83" s="2" t="n">
        <v>82</v>
      </c>
      <c r="B83" s="3" t="inlineStr">
        <is>
          <t>连接器</t>
        </is>
      </c>
      <c r="C83" s="3" t="inlineStr">
        <is>
          <t>HDR-M_2.54_1x2P</t>
        </is>
      </c>
      <c r="D83" s="3" t="inlineStr">
        <is>
          <t>HDR-TH_2P-P2.54-V-M-1</t>
        </is>
      </c>
      <c r="E83" s="4" t="inlineStr">
        <is>
          <t>排针 2P</t>
        </is>
      </c>
      <c r="F83" s="2" t="n">
        <v>1</v>
      </c>
      <c r="G83" s="2" t="n"/>
      <c r="H83" s="2" t="n"/>
      <c r="I83" s="2">
        <f>SUM(F83:H83)</f>
        <v/>
      </c>
      <c r="J83" s="2">
        <f>ROUNDUP(I83*1.2,0)</f>
        <v/>
      </c>
      <c r="K83" s="4" t="inlineStr">
        <is>
          <t>H3</t>
        </is>
      </c>
      <c r="L83" s="4" t="n"/>
      <c r="M83" s="4" t="n"/>
      <c r="N83" s="2" t="n"/>
      <c r="O83" s="4" t="inlineStr"/>
    </row>
    <row r="84">
      <c r="A84" s="2" t="n">
        <v>83</v>
      </c>
      <c r="B84" s="3" t="inlineStr">
        <is>
          <t>连接器</t>
        </is>
      </c>
      <c r="C84" s="3" t="inlineStr">
        <is>
          <t>HDR-M_2.54_1x3P</t>
        </is>
      </c>
      <c r="D84" s="3" t="inlineStr">
        <is>
          <t>HDR-TH_3P-P2.54-V-M</t>
        </is>
      </c>
      <c r="E84" s="4" t="inlineStr">
        <is>
          <t>排针 3P</t>
        </is>
      </c>
      <c r="F84" s="2" t="n">
        <v>1</v>
      </c>
      <c r="G84" s="2" t="n"/>
      <c r="H84" s="2" t="n"/>
      <c r="I84" s="2">
        <f>SUM(F84:H84)</f>
        <v/>
      </c>
      <c r="J84" s="2">
        <f>ROUNDUP(I84*1.2,0)</f>
        <v/>
      </c>
      <c r="K84" s="4" t="inlineStr">
        <is>
          <t>H2</t>
        </is>
      </c>
      <c r="L84" s="4" t="n"/>
      <c r="M84" s="4" t="n"/>
      <c r="N84" s="2" t="n"/>
      <c r="O84" s="4" t="inlineStr">
        <is>
          <t>BOOT0 跳线（待决 #17）</t>
        </is>
      </c>
    </row>
    <row r="85">
      <c r="A85" s="2" t="n">
        <v>84</v>
      </c>
      <c r="B85" s="3" t="inlineStr">
        <is>
          <t>连接器</t>
        </is>
      </c>
      <c r="C85" s="3" t="inlineStr">
        <is>
          <t>HDR-M_2.54_1x5P</t>
        </is>
      </c>
      <c r="D85" s="3" t="inlineStr">
        <is>
          <t>HDR-TH_5P-P2.54-V-M</t>
        </is>
      </c>
      <c r="E85" s="4" t="inlineStr">
        <is>
          <t>排针 5P</t>
        </is>
      </c>
      <c r="F85" s="2" t="n">
        <v>1</v>
      </c>
      <c r="G85" s="2" t="n"/>
      <c r="H85" s="2" t="n"/>
      <c r="I85" s="2">
        <f>SUM(F85:H85)</f>
        <v/>
      </c>
      <c r="J85" s="2">
        <f>ROUNDUP(I85*1.2,0)</f>
        <v/>
      </c>
      <c r="K85" s="4" t="inlineStr">
        <is>
          <t>H1</t>
        </is>
      </c>
      <c r="L85" s="4" t="n"/>
      <c r="M85" s="4" t="n"/>
      <c r="N85" s="2" t="n"/>
      <c r="O85" s="4" t="inlineStr">
        <is>
          <t>SWD</t>
        </is>
      </c>
    </row>
    <row r="86">
      <c r="A86" s="2" t="n">
        <v>85</v>
      </c>
      <c r="B86" s="3" t="inlineStr">
        <is>
          <t>连接器</t>
        </is>
      </c>
      <c r="C86" s="3" t="inlineStr">
        <is>
          <t>LAIL-PHC2.54-4P-01-XH-LT</t>
        </is>
      </c>
      <c r="D86" s="3" t="inlineStr">
        <is>
          <t>CONN-SMD_4P-P2.50_C2502VS10411M0111RA</t>
        </is>
      </c>
      <c r="E86" s="4" t="inlineStr">
        <is>
          <t>XH2.54 4P 贴片</t>
        </is>
      </c>
      <c r="F86" s="2" t="n">
        <v>1</v>
      </c>
      <c r="G86" s="2" t="n"/>
      <c r="H86" s="2" t="n"/>
      <c r="I86" s="2">
        <f>SUM(F86:H86)</f>
        <v/>
      </c>
      <c r="J86" s="2">
        <f>ROUNDUP(I86*1.2,0)</f>
        <v/>
      </c>
      <c r="K86" s="4" t="inlineStr">
        <is>
          <t>CN2</t>
        </is>
      </c>
      <c r="L86" s="4" t="n"/>
      <c r="M86" s="4" t="n"/>
      <c r="N86" s="2" t="n"/>
      <c r="O86" s="4" t="inlineStr"/>
    </row>
    <row r="87">
      <c r="A87" s="2" t="n">
        <v>86</v>
      </c>
      <c r="B87" s="3" t="inlineStr">
        <is>
          <t>连接器</t>
        </is>
      </c>
      <c r="C87" s="3" t="inlineStr">
        <is>
          <t>LAIL-SI-2.54-2X8P-ZC</t>
        </is>
      </c>
      <c r="D87" s="3" t="inlineStr">
        <is>
          <t>IDC-TH_16P-P2.54-V-M-R2-C8-S2.54</t>
        </is>
      </c>
      <c r="E87" s="4" t="inlineStr">
        <is>
          <t>双排 16P 2.54</t>
        </is>
      </c>
      <c r="F87" s="2" t="n">
        <v>1</v>
      </c>
      <c r="G87" s="2" t="n"/>
      <c r="H87" s="2" t="n"/>
      <c r="I87" s="2">
        <f>SUM(F87:H87)</f>
        <v/>
      </c>
      <c r="J87" s="2">
        <f>ROUNDUP(I87*1.2,0)</f>
        <v/>
      </c>
      <c r="K87" s="4" t="inlineStr">
        <is>
          <t>CN1</t>
        </is>
      </c>
      <c r="L87" s="4" t="n"/>
      <c r="M87" s="4" t="n"/>
      <c r="N87" s="2" t="n"/>
      <c r="O87" s="4" t="inlineStr"/>
    </row>
    <row r="88">
      <c r="A88" s="2" t="n">
        <v>87</v>
      </c>
      <c r="B88" s="3" t="inlineStr">
        <is>
          <t>连接器</t>
        </is>
      </c>
      <c r="C88" s="3" t="inlineStr">
        <is>
          <t>RCJ-043</t>
        </is>
      </c>
      <c r="D88" s="3" t="inlineStr">
        <is>
          <t>CONN-TH_RCJ-043</t>
        </is>
      </c>
      <c r="E88" s="4" t="inlineStr">
        <is>
          <t>莲花座</t>
        </is>
      </c>
      <c r="F88" s="2" t="n">
        <v>1</v>
      </c>
      <c r="G88" s="2" t="n"/>
      <c r="H88" s="2" t="n"/>
      <c r="I88" s="2">
        <f>SUM(F88:H88)</f>
        <v/>
      </c>
      <c r="J88" s="2">
        <f>ROUNDUP(I88*1.2,0)</f>
        <v/>
      </c>
      <c r="K88" s="4" t="inlineStr">
        <is>
          <t>U31</t>
        </is>
      </c>
      <c r="L88" s="4" t="n"/>
      <c r="M88" s="4" t="n"/>
      <c r="N88" s="2" t="n"/>
      <c r="O88" s="5" t="inlineStr">
        <is>
          <t>🔴 必须用绝缘型 —— 外壳是 AMP_GND，碰机箱就给 AGND 加了第二个接地点（破 ADR-004）</t>
        </is>
      </c>
    </row>
    <row r="89">
      <c r="A89" s="2" t="n">
        <v>88</v>
      </c>
      <c r="B89" s="3" t="inlineStr">
        <is>
          <t>连接器</t>
        </is>
      </c>
      <c r="C89" s="3" t="inlineStr">
        <is>
          <t>TYPE-C 16PIN 2MD(073)</t>
        </is>
      </c>
      <c r="D89" s="3" t="inlineStr">
        <is>
          <t>USB-C-SMD_TYPE-C-16PIN-2MD-073</t>
        </is>
      </c>
      <c r="E89" s="4" t="inlineStr">
        <is>
          <t>USB Type-C 16P</t>
        </is>
      </c>
      <c r="F89" s="2" t="n">
        <v>1</v>
      </c>
      <c r="G89" s="2" t="n"/>
      <c r="H89" s="2" t="n"/>
      <c r="I89" s="2">
        <f>SUM(F89:H89)</f>
        <v/>
      </c>
      <c r="J89" s="2">
        <f>ROUNDUP(I89*1.2,0)</f>
        <v/>
      </c>
      <c r="K89" s="4" t="inlineStr">
        <is>
          <t>USB1</t>
        </is>
      </c>
      <c r="L89" s="4" t="n"/>
      <c r="M89" s="4" t="n"/>
      <c r="N89" s="2" t="n"/>
      <c r="O89" s="4" t="inlineStr"/>
    </row>
    <row r="90">
      <c r="A90" s="2" t="n">
        <v>89</v>
      </c>
      <c r="B90" s="3" t="inlineStr">
        <is>
          <t>连接器</t>
        </is>
      </c>
      <c r="C90" s="3" t="inlineStr">
        <is>
          <t>ZX-HY2.0-8PLT</t>
        </is>
      </c>
      <c r="D90" s="3" t="inlineStr">
        <is>
          <t>CONN-SMD_8P-P2.00_MEGASTAR_ZX-HY2.0-8PLT</t>
        </is>
      </c>
      <c r="E90" s="4" t="inlineStr">
        <is>
          <t>HY2.0 8P</t>
        </is>
      </c>
      <c r="F90" s="2" t="n">
        <v>1</v>
      </c>
      <c r="G90" s="2" t="n"/>
      <c r="H90" s="2" t="n"/>
      <c r="I90" s="2">
        <f>SUM(F90:H90)</f>
        <v/>
      </c>
      <c r="J90" s="2">
        <f>ROUNDUP(I90*1.2,0)</f>
        <v/>
      </c>
      <c r="K90" s="4" t="inlineStr">
        <is>
          <t>U29</t>
        </is>
      </c>
      <c r="L90" s="4" t="n"/>
      <c r="M90" s="4" t="n"/>
      <c r="N90" s="2" t="n"/>
      <c r="O90" s="4" t="inlineStr">
        <is>
          <t>DWIN 屏口；🟡 3/6 脚悬空、DWIN 脚定义待核实（待决 #63）</t>
        </is>
      </c>
    </row>
    <row r="91">
      <c r="A91" s="2" t="n">
        <v>90</v>
      </c>
      <c r="B91" s="3" t="inlineStr">
        <is>
          <t>机械</t>
        </is>
      </c>
      <c r="C91" s="3" t="inlineStr">
        <is>
          <t>SKPMAQE010</t>
        </is>
      </c>
      <c r="D91" s="3" t="inlineStr">
        <is>
          <t>KEY-SMD_2P-L6.0-W6.0-P6.00</t>
        </is>
      </c>
      <c r="E91" s="4" t="inlineStr">
        <is>
          <t>轻触开关</t>
        </is>
      </c>
      <c r="F91" s="2" t="n">
        <v>1</v>
      </c>
      <c r="G91" s="2" t="n"/>
      <c r="H91" s="2" t="n"/>
      <c r="I91" s="2">
        <f>SUM(F91:H91)</f>
        <v/>
      </c>
      <c r="J91" s="2">
        <f>ROUNDUP(I91*1.2,0)</f>
        <v/>
      </c>
      <c r="K91" s="4" t="inlineStr">
        <is>
          <t>U22</t>
        </is>
      </c>
      <c r="L91" s="4" t="n"/>
      <c r="M91" s="4" t="n"/>
      <c r="N91" s="2" t="n"/>
      <c r="O91" s="5" t="inlineStr">
        <is>
          <t>复位键；🔴 MR 要 10k 外部上拉，不要加消抖电容</t>
        </is>
      </c>
    </row>
    <row r="92">
      <c r="A92" s="6" t="n">
        <v>91</v>
      </c>
      <c r="B92" s="7" t="inlineStr">
        <is>
          <t>结构</t>
        </is>
      </c>
      <c r="C92" s="7" t="inlineStr">
        <is>
          <t>M3螺丝</t>
        </is>
      </c>
      <c r="D92" s="7" t="inlineStr">
        <is>
          <t>M3螺丝</t>
        </is>
      </c>
      <c r="E92" s="8" t="inlineStr">
        <is>
          <t>M3 尼龙柱+螺钉</t>
        </is>
      </c>
      <c r="F92" s="6" t="n">
        <v>6</v>
      </c>
      <c r="G92" s="6" t="n">
        <v>5</v>
      </c>
      <c r="H92" s="6" t="n">
        <v>4</v>
      </c>
      <c r="I92" s="6">
        <f>SUM(F92:H92)</f>
        <v/>
      </c>
      <c r="J92" s="6">
        <f>ROUNDUP(I92*1.2,0)</f>
        <v/>
      </c>
      <c r="K92" s="8" t="inlineStr">
        <is>
          <t>SCREW1,SCREW2,SCREW3,SCREW4,SCREW5,SCREW6</t>
        </is>
      </c>
      <c r="L92" s="8" t="inlineStr">
        <is>
          <t>SCREW1,SCREW2,SCREW3,SCREW4,SCREW5</t>
        </is>
      </c>
      <c r="M92" s="8" t="inlineStr">
        <is>
          <t>SCREW1,SCREW2,SCREW3,SCREW4</t>
        </is>
      </c>
      <c r="N92" s="6" t="inlineStr">
        <is>
          <t>★</t>
        </is>
      </c>
      <c r="O92" s="9" t="inlineStr">
        <is>
          <t>🔴 三块板的安装孔全部 NPTH。MAIN-01：默认全尼龙柱；要接 PE 只能用 GND 区那几个孔（H1/H3/H5/H6），H2/H4 必须尼龙。RLY-01/SNS-01：🔴 全尼龙柱。🔴 装配文件必须写明哪几颗尼龙、哪一颗金属接 PE —— 光看 PCB 看不出来</t>
        </is>
      </c>
    </row>
    <row r="94">
      <c r="C94" s="10" t="inlineStr">
        <is>
          <t>合计</t>
        </is>
      </c>
      <c r="F94" s="11">
        <f>SUM(F2:F92)</f>
        <v/>
      </c>
      <c r="G94" s="11">
        <f>SUM(G2:G92)</f>
        <v/>
      </c>
      <c r="H94" s="11">
        <f>SUM(H2:H92)</f>
        <v/>
      </c>
      <c r="I94" s="11">
        <f>SUM(I2:I92)</f>
        <v/>
      </c>
      <c r="J94" s="11">
        <f>SUM(J2:J92)</f>
        <v/>
      </c>
    </row>
    <row r="95">
      <c r="C95" s="10" t="inlineStr">
        <is>
          <t>料号行数</t>
        </is>
      </c>
      <c r="I95" s="10">
        <f>COUNTA(C2:C92)</f>
        <v/>
      </c>
    </row>
    <row r="96">
      <c r="C96" s="10" t="inlineStr">
        <is>
          <t>其中跨板合并</t>
        </is>
      </c>
      <c r="I96" s="10">
        <f>COUNTIF(N2:N92,"★")</f>
        <v/>
      </c>
    </row>
  </sheetData>
  <autoFilter ref="A1:O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40" customWidth="1" min="4" max="4"/>
    <col width="80" customWidth="1" min="5" max="5"/>
  </cols>
  <sheetData>
    <row r="1">
      <c r="A1" s="1" t="inlineStr">
        <is>
          <t>#</t>
        </is>
      </c>
      <c r="B1" s="1" t="inlineStr">
        <is>
          <t>合并的是什么</t>
        </is>
      </c>
      <c r="C1" s="1" t="inlineStr">
        <is>
          <t>原来</t>
        </is>
      </c>
      <c r="D1" s="1" t="inlineStr">
        <is>
          <t>合并后</t>
        </is>
      </c>
      <c r="E1" s="1" t="inlineStr">
        <is>
          <t>理由</t>
        </is>
      </c>
    </row>
    <row r="2">
      <c r="A2" s="12" t="n">
        <v>1</v>
      </c>
      <c r="B2" s="12" t="inlineStr">
        <is>
          <t>100 µF 铝电解（MAIN-01 U28 + RLY-01 C1）</t>
        </is>
      </c>
      <c r="C2" s="12" t="inlineStr">
        <is>
          <t>两个封装名：CAP-SMD_BD6.3-…-LS7.2-FD-1 和 …-FD-1</t>
        </is>
      </c>
      <c r="D2" s="12" t="inlineStr">
        <is>
          <t>合成一个料号，≥25V ≥105°C，共 2 只</t>
        </is>
      </c>
      <c r="E2" s="12" t="inlineStr">
        <is>
          <t>封装名只差一个 LS（焊盘跨距标注），本体都是 BD6.3 / L6.6×W6.6 —— 是同一个物理件，没必要开两个料号</t>
        </is>
      </c>
    </row>
    <row r="3">
      <c r="A3" s="12" t="n">
        <v>2</v>
      </c>
      <c r="B3" s="12" t="inlineStr">
        <is>
          <t>10 nF / 0603（MAIN-01 共 7 只）</t>
        </is>
      </c>
      <c r="C3" s="12" t="inlineStr">
        <is>
          <t>C56/C57 要 C0G；C44/C51/C52 编码器消抖、C5/C10 无所谓</t>
        </is>
      </c>
      <c r="D3" s="13" t="inlineStr">
        <is>
          <t>🔴 全部 C0G ±5%</t>
        </is>
      </c>
      <c r="E3" s="12" t="inlineStr">
        <is>
          <t>「合并取最严」：C56/C57 是抗混叠差模，f_c 每差 1% = 0.0736° 相位误差，而相位正是要显示的量。10 nF 的 C0G 在 0603 里是常规件，统一之后省一个料号、也杜绝贴错</t>
        </is>
      </c>
    </row>
    <row r="4">
      <c r="A4" s="12" t="n">
        <v>3</v>
      </c>
      <c r="B4" s="12" t="inlineStr">
        <is>
          <t>10 nF / 0805（SNS-01 C15）</t>
        </is>
      </c>
      <c r="C4" s="12" t="inlineStr">
        <is>
          <t>没写材质</t>
        </is>
      </c>
      <c r="D4" s="13" t="inlineStr">
        <is>
          <t>🔴 C0G ±5%</t>
        </is>
      </c>
      <c r="E4" s="12" t="inlineStr">
        <is>
          <t>它是 AMC3301 的输入滤波，在电流通道信号链上，和 C56/C57 同一个道理</t>
        </is>
      </c>
    </row>
    <row r="5">
      <c r="A5" s="12" t="n">
        <v>4</v>
      </c>
      <c r="B5" s="12" t="inlineStr">
        <is>
          <t>1 nF / 0603（共 13 只）</t>
        </is>
      </c>
      <c r="C5" s="12" t="inlineStr">
        <is>
          <t>C58~C61 抗混叠共模；C75/C76 故障线滤波；SNS-01 7 只去耦</t>
        </is>
      </c>
      <c r="D5" s="12" t="inlineStr">
        <is>
          <t>C0G ±5%</t>
        </is>
      </c>
      <c r="E5" s="12" t="inlineStr">
        <is>
          <t>取最严的那个用途。1 nF 的 C0G 便宜，统一零代价</t>
        </is>
      </c>
    </row>
    <row r="6">
      <c r="A6" s="12" t="n">
        <v>5</v>
      </c>
      <c r="B6" s="12" t="inlineStr">
        <is>
          <t>100 Ω / 0603（MAIN-01 共 14 只）</t>
        </is>
      </c>
      <c r="C6" s="12" t="inlineStr">
        <is>
          <t>R34~R37 要 ±1% 同批次，其余随意</t>
        </is>
      </c>
      <c r="D6" s="13" t="inlineStr">
        <is>
          <t>±1% 全部，🔴 R34~R37 额外要求同批次</t>
        </is>
      </c>
      <c r="E6" s="12" t="inlineStr">
        <is>
          <t>±1% 和 ±5% 现在价钱一样；「同批次」是免费换 0.149° 相位一致性</t>
        </is>
      </c>
    </row>
    <row r="7">
      <c r="A7" s="12" t="n">
        <v>6</v>
      </c>
      <c r="B7" s="12" t="inlineStr">
        <is>
          <t>10 Ω / 0805（MAIN-01 R43 + SNS-01 R1/R7/R8/R9）</t>
        </is>
      </c>
      <c r="C7" s="12" t="inlineStr">
        <is>
          <t>分散在两块板</t>
        </is>
      </c>
      <c r="D7" s="12" t="inlineStr">
        <is>
          <t>★ 合并 5 只，±1%</t>
        </is>
      </c>
      <c r="E7" s="12" t="inlineStr">
        <is>
          <t>同值同封装，用途都不苛刻</t>
        </is>
      </c>
    </row>
    <row r="8">
      <c r="A8" s="12" t="n">
        <v>7</v>
      </c>
      <c r="B8" s="12" t="inlineStr">
        <is>
          <t>100 nF / 0603（共 45 只，三块板）</t>
        </is>
      </c>
      <c r="C8" s="12" t="inlineStr">
        <is>
          <t>三块板各自采购</t>
        </is>
      </c>
      <c r="D8" s="12" t="inlineStr">
        <is>
          <t>★ 合并一个料号，X7R ≥50V</t>
        </is>
      </c>
      <c r="E8" s="13" t="inlineStr">
        <is>
          <t>🔴 注意：0603 做不出 100 nF 的 C0G，所以这一行只能 X7R —— 和第 2 条不是一回事，别混</t>
        </is>
      </c>
    </row>
    <row r="9">
      <c r="A9" s="12" t="n">
        <v>8</v>
      </c>
      <c r="B9" s="12" t="inlineStr">
        <is>
          <t>KF301-5.0-2P（共 20 只，三块板）</t>
        </is>
      </c>
      <c r="C9" s="12" t="inlineStr">
        <is>
          <t>三块板各自采购</t>
        </is>
      </c>
      <c r="D9" s="12" t="inlineStr">
        <is>
          <t>★ 合并一个料号</t>
        </is>
      </c>
      <c r="E9" s="12" t="inlineStr">
        <is>
          <t>🟡 其中 3 只（SNS-01 U6/U30、RLY-01 U4）上是 223.6 Vrms，见「下单必读」待决 #61</t>
        </is>
      </c>
    </row>
    <row r="10">
      <c r="A10" s="12" t="n">
        <v>9</v>
      </c>
      <c r="B10" s="12" t="inlineStr">
        <is>
          <t>板间连接器 3 组</t>
        </is>
      </c>
      <c r="C10" s="12" t="inlineStr">
        <is>
          <t>MAIN-01 和对端各买各的</t>
        </is>
      </c>
      <c r="D10" s="12" t="inlineStr">
        <is>
          <t>★ 各合并成 1 个料号：IDC-10P ×2、XH2.54-9P ×2、XH2.54-8P ×2</t>
        </is>
      </c>
      <c r="E10" s="12" t="inlineStr">
        <is>
          <t>板间接口天生成对，合并之后也不会买错</t>
        </is>
      </c>
    </row>
    <row r="11">
      <c r="A11" s="12" t="n">
        <v>10</v>
      </c>
      <c r="B11" s="12" t="inlineStr">
        <is>
          <t>ULN2803A → 建议改 TBD62083A</t>
        </is>
      </c>
      <c r="C11" s="12" t="inlineStr">
        <is>
          <t>BOM 写 ULN2803A，文档一直按 TBD62083A</t>
        </is>
      </c>
      <c r="D11" s="12" t="inlineStr">
        <is>
          <t>🟡 建议 TBD62083A（引脚兼容，9=GND/10=COM）</t>
        </is>
      </c>
      <c r="E11" s="12" t="inlineStr">
        <is>
          <t>这正是「合并成最好的那个」：ULN2803A 是达林顿，44 mA 下压降约 1.1 V → 继电器线圈只剩 10.9 V；TBD62083A 是 DMOS，压降 ~44 mV → 11.95 V。按 G5RL 必动作 80%(9.6 V) 算，余量 1.14× vs 1.24×。两个都能用，但没有理由选差的那个</t>
        </is>
      </c>
    </row>
    <row r="12">
      <c r="A12" s="12" t="n">
        <v>11</v>
      </c>
      <c r="B12" s="12" t="inlineStr">
        <is>
          <t>同值不同封装 —— 没有合并，必须分开买</t>
        </is>
      </c>
      <c r="C12" s="12" t="inlineStr">
        <is>
          <t>1kΩ/10kΩ/22kΩ/100kΩ/100nF 在 MAIN-01 上同时有 0603 和 0805</t>
        </is>
      </c>
      <c r="D12" s="12" t="inlineStr">
        <is>
          <t>分成两行</t>
        </is>
      </c>
      <c r="E12" s="12" t="inlineStr">
        <is>
          <t>这是物理约束不是选型问题。🟡 建议下一版原理图把它们统一成 0603，能少 5 个料号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110" customWidth="1" min="4" max="4"/>
  </cols>
  <sheetData>
    <row r="1">
      <c r="A1" s="1" t="inlineStr">
        <is>
          <t>#</t>
        </is>
      </c>
      <c r="B1" s="1" t="inlineStr">
        <is>
          <t>板</t>
        </is>
      </c>
      <c r="C1" s="1" t="inlineStr">
        <is>
          <t>事项</t>
        </is>
      </c>
      <c r="D1" s="1" t="inlineStr">
        <is>
          <t>结论 / 要做什么</t>
        </is>
      </c>
    </row>
    <row r="2">
      <c r="A2" s="12" t="n">
        <v>1</v>
      </c>
      <c r="B2" s="12" t="inlineStr">
        <is>
          <t>三板</t>
        </is>
      </c>
      <c r="C2" s="13" t="inlineStr">
        <is>
          <t>🔴 外层铜厚</t>
        </is>
      </c>
      <c r="D2" s="12" t="inlineStr">
        <is>
          <t>MAIN-01 **1 oz**（全板最小间距 0.102 mm，正好等于立创 copperThickness1oz 规则值，零余量，2 oz 必违规）· RLY-01 **1 oz**（瓶颈 TR_COM 3.14 mm @7.07 A → ΔT 17.8 °C）· SNS-01 **1 oz**（三条 7.07 A 铜顶底并联+缝合，等效 2 oz 单层，ΔT 7.0 °C；且顶层最小间距 0.140 mm，2 oz 有被规则拦的风险）</t>
        </is>
      </c>
    </row>
    <row r="3">
      <c r="A3" s="12" t="n">
        <v>2</v>
      </c>
      <c r="B3" s="12" t="inlineStr">
        <is>
          <t>RLY-01</t>
        </is>
      </c>
      <c r="C3" s="13" t="inlineStr">
        <is>
          <t>🔴 L4 还剩两处功能绝缘间距</t>
        </is>
      </c>
      <c r="D3" s="12" t="inlineStr">
        <is>
          <t>OUT_SEL ↔ TAP_3R **1.080 mm @223.6 Vrms**、OUT_SEL ↔ TAP_300R 1.537 mm @101 V。顶层已经改好了（0.520 → 4.020 mm），底层这两段没跟着改。见审图 #36</t>
        </is>
      </c>
    </row>
    <row r="4">
      <c r="A4" s="12" t="n">
        <v>3</v>
      </c>
      <c r="B4" s="12" t="inlineStr">
        <is>
          <t>RLY-01</t>
        </is>
      </c>
      <c r="C4" s="13" t="inlineStr">
        <is>
          <t>🔴 CN1 / CN2 / U4 脚序整个反过来了</t>
        </is>
      </c>
      <c r="D4" s="12" t="inlineStr">
        <is>
          <t>v5 相对 v4：CN1 变成 1=TAP_1000R 2=TAP_300R 3=TAP_100R 4=TR_COM；CN2 变成 1=TAP_30R … 5=TR_COM；U4 的两个脚也换了位置。**接线定义文件必须同步改** —— 按老脚序接，223.6 V 会接到 TR_COM 上</t>
        </is>
      </c>
    </row>
    <row r="5">
      <c r="A5" s="12" t="n">
        <v>4</v>
      </c>
      <c r="B5" s="12" t="inlineStr">
        <is>
          <t>SNS-01</t>
        </is>
      </c>
      <c r="C5" s="12" t="inlineStr">
        <is>
          <t>🟡 HV_GND 顶层铺铜碎成 15 块</t>
        </is>
      </c>
      <c r="D5" s="12" t="inlineStr">
        <is>
          <t>已验证 15 块**每块都有过孔并到底层那块 2835.9 mm² 整铜**，电气上仍是一个整体 ✅。🟡 但其中 6 块只有 1 只过孔 —— 建议每块补到 2 只（一只开路那块就悬空了，而它是四颗隔离芯片的参考地）</t>
        </is>
      </c>
    </row>
    <row r="6">
      <c r="A6" s="12" t="n">
        <v>5</v>
      </c>
      <c r="B6" s="12" t="inlineStr">
        <is>
          <t>SNS-01</t>
        </is>
      </c>
      <c r="C6" s="12" t="inlineStr">
        <is>
          <t>🟡 分压链爬电 1.92 mm</t>
        </is>
      </c>
      <c r="D6" s="12" t="inlineStr">
        <is>
          <t>从 0.240 改到 1.70~1.92 mm，改对了方向。按 FR-4 材料组 IIIa 的 2.5 mm 还差 0.6 mm，按材料组 I（1.8 mm）已经够。🟢 建议就这样下单，另记一条已知偏差；零成本缓解：选高 CTI 板材（🟡 立创是否提供待核实）或装配后刷三防漆</t>
        </is>
      </c>
    </row>
    <row r="7">
      <c r="A7" s="12" t="n">
        <v>6</v>
      </c>
      <c r="B7" s="12" t="inlineStr">
        <is>
          <t>MAIN-01</t>
        </is>
      </c>
      <c r="C7" s="13" t="inlineStr">
        <is>
          <t>🔴 这次没有上传 Gerber，两条必改无法复核</t>
        </is>
      </c>
      <c r="D7" s="13" t="inlineStr">
        <is>
          <t>① 原理图补 U27.5→AGND、U27.6↔U27.7（🔴🔴 顺序：先改原理图再点「导入更新」，反了会清掉 PCB 上已画好的手工连接）② 六个安装孔 φ3.2 改 NPTH。🟢 但从 BOM 位号差异能看出 R54/R65/C75/C76 已补齐（HARD_OK_MON 那条链回来了）、SCREW5/SCREW6 已加</t>
        </is>
      </c>
    </row>
    <row r="8">
      <c r="A8" s="12" t="n">
        <v>7</v>
      </c>
      <c r="B8" s="12" t="inlineStr">
        <is>
          <t>三板</t>
        </is>
      </c>
      <c r="C8" s="13" t="inlineStr">
        <is>
          <t>🔴 待决 #61：端子 250 V 还是 300 V</t>
        </is>
      </c>
      <c r="D8" s="13" t="inlineStr">
        <is>
          <t>涉及 4 副：RLY-01 CN1/U4 + SNS-01 U30/U6。🟢 建议**不换** —— 工作电压 223.6 Vrms &lt; 250 V 已合规，OV 跳闸 288 Vrms 是 ms 级故障窗口，端子冲击耐受（250V/OVC II → 2500 V）扛得住。🔴 但要在下单前拍板：换 300 V 料号如果脚位不同，PCB 得跟着改</t>
        </is>
      </c>
    </row>
    <row r="9">
      <c r="A9" s="12" t="n">
        <v>8</v>
      </c>
      <c r="B9" s="12" t="inlineStr">
        <is>
          <t>SNS-01</t>
        </is>
      </c>
      <c r="C9" s="13" t="inlineStr">
        <is>
          <t>🔴 RS1 订货三项写全</t>
        </is>
      </c>
      <c r="D9" s="13" t="inlineStr">
        <is>
          <t>PCS-10W **15mR 0.5% 25PPM** —— 缺一项厂家就按默认给。🔴 另外要向厂家问残余电感 L_s（1 nH = 0.24° @10 kHz 的电流通道相位误差）</t>
        </is>
      </c>
    </row>
    <row r="10">
      <c r="A10" s="12" t="n">
        <v>9</v>
      </c>
      <c r="B10" s="12" t="inlineStr">
        <is>
          <t>RLY-01</t>
        </is>
      </c>
      <c r="C10" s="13" t="inlineStr">
        <is>
          <t>🔴 G5RL 订货型号</t>
        </is>
      </c>
      <c r="D10" s="12" t="inlineStr">
        <is>
          <t>必须是 **4 脚 G5RL-1A-LN DC12**，不是 6 脚 -E-LN —— 两者线圈一样，但焊盘对不上</t>
        </is>
      </c>
    </row>
    <row r="11">
      <c r="A11" s="12" t="n">
        <v>10</v>
      </c>
      <c r="B11" s="12" t="inlineStr">
        <is>
          <t>RLY-01</t>
        </is>
      </c>
      <c r="C11" s="13" t="inlineStr">
        <is>
          <t>🔴 D1 = 1N4007W 的两条目视核</t>
        </is>
      </c>
      <c r="D11" s="12" t="inlineStr">
        <is>
          <t>① 商品页封装字样必须是 **SOD-123FL**（本体 2.7×1.8 / 脚跨 3.8）—— 同名件有按 SOD-123 出货的，1N4007 的贴片版还有 M7(SMA)，那个放不进这个焊盘；② **1 号脚是阴极**（色带端）</t>
        </is>
      </c>
    </row>
    <row r="12">
      <c r="A12" s="12" t="n">
        <v>11</v>
      </c>
      <c r="B12" s="12" t="inlineStr">
        <is>
          <t>MAIN-01</t>
        </is>
      </c>
      <c r="C12" s="13" t="inlineStr">
        <is>
          <t>🔴 F1 要确认是慢熔(T)</t>
        </is>
      </c>
      <c r="D12" s="12" t="inlineStr">
        <is>
          <t>0001.2512.TR 截图只写了 6.3 A，该系列 T/F 两种都有（待决 #37）</t>
        </is>
      </c>
    </row>
    <row r="13">
      <c r="A13" s="12" t="n">
        <v>12</v>
      </c>
      <c r="B13" s="12" t="inlineStr">
        <is>
          <t>三板</t>
        </is>
      </c>
      <c r="C13" s="13" t="inlineStr">
        <is>
          <t>🔴 安装孔全部 NPTH + 尼龙柱</t>
        </is>
      </c>
      <c r="D13" s="13" t="inlineStr">
        <is>
          <t>MAIN-01 默认全尼龙；要接 PE 只能用 GND 区那几个孔（H1/H3/H5/H6），H2/H4 必须尼龙。SNS-01 的 RS1 两颗 M3 在带电侧，绝不能用金属柱。🔴 装配文件必须写明哪几颗尼龙、哪一颗金属接 PE —— 这是 ADR-004 唯一的保证</t>
        </is>
      </c>
    </row>
    <row r="14">
      <c r="A14" s="12" t="n">
        <v>13</v>
      </c>
      <c r="B14" s="12" t="inlineStr">
        <is>
          <t>机箱件</t>
        </is>
      </c>
      <c r="C14" s="13" t="inlineStr">
        <is>
          <t>🔴🔴 变压器 T-3 内埋温度开关别漏</t>
        </is>
      </c>
      <c r="D14" s="12" t="inlineStr">
        <is>
          <t>绕组热点内埋 NC 温度开关，串进 KSAFE 线圈回路。删掉与门之后（ADR-018），**它是整机唯一一条不经过 MCU 的保护**，管的正是硬件 OC 够不着（跳闸在 1.46×）的 1.0~1.45 倍持续过载</t>
        </is>
      </c>
    </row>
    <row r="15">
      <c r="A15" s="12" t="n">
        <v>14</v>
      </c>
      <c r="B15" s="12" t="inlineStr">
        <is>
          <t>机箱件</t>
        </is>
      </c>
      <c r="C15" s="13" t="inlineStr">
        <is>
          <t>🔴 待决 #70：问绕线厂</t>
        </is>
      </c>
      <c r="D15" s="12" t="inlineStr">
        <is>
          <t>「7.07 V / 7.07 A 是空载抽头电压还是负载端电压？有没有 ≥25% 余量不饱和？」—— 接触电阻按 G7L 手册上限算，1 Ω 档只剩 26.4 VA</t>
        </is>
      </c>
    </row>
    <row r="16">
      <c r="A16" s="12" t="n">
        <v>15</v>
      </c>
      <c r="B16" s="12" t="inlineStr">
        <is>
          <t>软件</t>
        </is>
      </c>
      <c r="C16" s="13" t="inlineStr">
        <is>
          <t>🔴 待决 #71 留下的唯一防线</t>
        </is>
      </c>
      <c r="D16" s="12" t="inlineStr">
        <is>
          <t>抽头对抽头短路的环路不过 TR_COM、不过 shunt → 硬件 OC 看不见。必须：① 切档序列「静音→断当前→等 ≥30 ms→合目标→解除静音」；② **在最底层的 TCA9539 寄存器写函数里做互斥**，7 个抽头位永远只允许一位为 1；③ 上电先全清零</t>
        </is>
      </c>
    </row>
    <row r="17">
      <c r="A17" s="12" t="n">
        <v>16</v>
      </c>
      <c r="B17" s="12" t="inlineStr">
        <is>
          <t>BOM</t>
        </is>
      </c>
      <c r="C17" s="12" t="inlineStr">
        <is>
          <t>🟡 未填的两项</t>
        </is>
      </c>
      <c r="D17" s="12" t="inlineStr">
        <is>
          <t>本表的「值/型号」直接取自立创导出的 Comment 列。🟡 **LCSC 编号没有填** —— 项目约定不凭记忆写编号。🟡 高精度那几行（±0.1% 薄膜 51k/806Ω、C0G）下单时按规格挑，不要用立创基础库自动匹配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2026-09-19T17:05:29Z</dcterms:created>
  <dcterms:modified xsi:type="dcterms:W3CDTF">2026-09-19T17:21:35Z</dcterms:modified>
</cp:coreProperties>
</file>